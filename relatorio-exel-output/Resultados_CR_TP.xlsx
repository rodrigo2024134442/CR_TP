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dri\Documents\GitHub\CR_TP\results\"/>
    </mc:Choice>
  </mc:AlternateContent>
  <xr:revisionPtr revIDLastSave="0" documentId="13_ncr:1_{0F62FFC2-6622-4571-9491-493FF0F1F22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esumo Executivo" sheetId="1" r:id="rId1"/>
    <sheet name="Resultados CBR" sheetId="2" r:id="rId2"/>
    <sheet name="Redes Neuronais — Destaque" sheetId="3" r:id="rId3"/>
    <sheet name="120 Configurações RN" sheetId="4" r:id="rId4"/>
    <sheet name="Comparação CBR vs R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2" l="1"/>
</calcChain>
</file>

<file path=xl/sharedStrings.xml><?xml version="1.0" encoding="utf-8"?>
<sst xmlns="http://schemas.openxmlformats.org/spreadsheetml/2006/main" count="718" uniqueCount="182">
  <si>
    <t>Relatório de Resultados — Diagnóstico de Falhas com IA</t>
  </si>
  <si>
    <t>Conhecimento e Raciocínio · Ano Letivo 2025–2026</t>
  </si>
  <si>
    <t>Casos no Conjunto de Dados</t>
  </si>
  <si>
    <t>Casos de Teste Externo</t>
  </si>
  <si>
    <t>5 000</t>
  </si>
  <si>
    <t>30</t>
  </si>
  <si>
    <t>Precisão CBR</t>
  </si>
  <si>
    <t>Precisão RN Melhor</t>
  </si>
  <si>
    <t>100,0%</t>
  </si>
  <si>
    <t>Configurações RN Testadas</t>
  </si>
  <si>
    <t>Precisão RN Pior</t>
  </si>
  <si>
    <t>120</t>
  </si>
  <si>
    <t>31,2%</t>
  </si>
  <si>
    <t xml:space="preserve">  Distribuição das Classes no Conjunto de Dados</t>
  </si>
  <si>
    <t>Classe</t>
  </si>
  <si>
    <t>Registos / Percentagem</t>
  </si>
  <si>
    <t>Normal</t>
  </si>
  <si>
    <t>1 684  (33,7%)</t>
  </si>
  <si>
    <t>ElectricalFailure</t>
  </si>
  <si>
    <t>1 672  (33,4%)</t>
  </si>
  <si>
    <t>MechanicalFailure</t>
  </si>
  <si>
    <t>1 644  (32,9%)</t>
  </si>
  <si>
    <t xml:space="preserve">  Conclusões Principais</t>
  </si>
  <si>
    <t>Elemento</t>
  </si>
  <si>
    <t>Resultado</t>
  </si>
  <si>
    <t>Desempenho CBR</t>
  </si>
  <si>
    <t>100% de precisão nos 30 casos de teste</t>
  </si>
  <si>
    <t>Algoritmo RN superior</t>
  </si>
  <si>
    <t>trainbr &gt; 99% — muito superior ao traingd</t>
  </si>
  <si>
    <t>Melhor topologia RN</t>
  </si>
  <si>
    <t>10 neurónios ocultos + trainbr + logsig</t>
  </si>
  <si>
    <t>Divisão de dados</t>
  </si>
  <si>
    <t>Divisão [80-10-10] com melhor desempenho</t>
  </si>
  <si>
    <t>Impacto normalização</t>
  </si>
  <si>
    <t>Comparação final</t>
  </si>
  <si>
    <t>CBR e melhor RN atingem ambos 100% no teste final</t>
  </si>
  <si>
    <t>Resultados CBR — 30 Casos de Teste Externo</t>
  </si>
  <si>
    <t>Taxa de Acerto: 100,0%  ·  Casos Correctos: 30/30  ·  Limiar de Similaridade: 0,80</t>
  </si>
  <si>
    <t>Caso Nº</t>
  </si>
  <si>
    <t>Classe Prevista</t>
  </si>
  <si>
    <t>Similaridade Máxima</t>
  </si>
  <si>
    <t>CORRETO</t>
  </si>
  <si>
    <t>TOTAL</t>
  </si>
  <si>
    <t>30 / 30</t>
  </si>
  <si>
    <t xml:space="preserve">  Análise por Classe</t>
  </si>
  <si>
    <t>Casos</t>
  </si>
  <si>
    <t>Acertos</t>
  </si>
  <si>
    <t>Precisão</t>
  </si>
  <si>
    <t>Redes Neuronais — Melhores e Piores Configurações</t>
  </si>
  <si>
    <t xml:space="preserve">  ★ Melhores 3 Configurações</t>
  </si>
  <si>
    <t>Ranking</t>
  </si>
  <si>
    <t>Configuração</t>
  </si>
  <si>
    <t>Treino</t>
  </si>
  <si>
    <t>Activação</t>
  </si>
  <si>
    <t>Precisão Interna</t>
  </si>
  <si>
    <t>Precisão Teste Ext.</t>
  </si>
  <si>
    <t>1º Melhor</t>
  </si>
  <si>
    <t>Config 120</t>
  </si>
  <si>
    <t>trainbr</t>
  </si>
  <si>
    <t>logsig</t>
  </si>
  <si>
    <t>99,66%</t>
  </si>
  <si>
    <t>2º Melhor</t>
  </si>
  <si>
    <t>Config 115</t>
  </si>
  <si>
    <t>99,30%</t>
  </si>
  <si>
    <t>3º Melhor</t>
  </si>
  <si>
    <t>Config 116</t>
  </si>
  <si>
    <t>99,50%</t>
  </si>
  <si>
    <t xml:space="preserve">  ✗ Piores 3 Configurações</t>
  </si>
  <si>
    <t>1º Pior</t>
  </si>
  <si>
    <t>Config 34</t>
  </si>
  <si>
    <t>traingd</t>
  </si>
  <si>
    <t>tansig</t>
  </si>
  <si>
    <t>31,23%</t>
  </si>
  <si>
    <t>63,3%</t>
  </si>
  <si>
    <t>2º Pior</t>
  </si>
  <si>
    <t>Config 40</t>
  </si>
  <si>
    <t>38,08%</t>
  </si>
  <si>
    <t>73,3%</t>
  </si>
  <si>
    <t>3º Pior</t>
  </si>
  <si>
    <t>Config 45</t>
  </si>
  <si>
    <t>31,76%</t>
  </si>
  <si>
    <t>40,0%</t>
  </si>
  <si>
    <t xml:space="preserve">  Factores de Desempenho das RN</t>
  </si>
  <si>
    <t>Factor</t>
  </si>
  <si>
    <t>Melhores</t>
  </si>
  <si>
    <t>Piores</t>
  </si>
  <si>
    <t>Impacto</t>
  </si>
  <si>
    <t>Algoritmo treino</t>
  </si>
  <si>
    <t>DECISIVO</t>
  </si>
  <si>
    <t>trainbr converge melhor</t>
  </si>
  <si>
    <t>Função activação</t>
  </si>
  <si>
    <t>logsig / softmax</t>
  </si>
  <si>
    <t>tansig / logsig</t>
  </si>
  <si>
    <t>MODERADO</t>
  </si>
  <si>
    <t>logsig com trainbr é ótimo</t>
  </si>
  <si>
    <t>Divisão dados</t>
  </si>
  <si>
    <t>[80 10 10]</t>
  </si>
  <si>
    <t>[60 20 20]</t>
  </si>
  <si>
    <t>Mais dados de treino ajuda</t>
  </si>
  <si>
    <t>Normalização</t>
  </si>
  <si>
    <t>Indiferente</t>
  </si>
  <si>
    <t>BAIXO</t>
  </si>
  <si>
    <t>Não é factor decisivo</t>
  </si>
  <si>
    <t>Todas as 120 Configurações de Redes Neuronais</t>
  </si>
  <si>
    <t>Config</t>
  </si>
  <si>
    <t>Nós</t>
  </si>
  <si>
    <t>Divisão</t>
  </si>
  <si>
    <t>Prec. Global (%)</t>
  </si>
  <si>
    <t>Prec. Teste (%)</t>
  </si>
  <si>
    <t>softmax</t>
  </si>
  <si>
    <t>[70 15 15]</t>
  </si>
  <si>
    <t>purelin</t>
  </si>
  <si>
    <t>Comparação de Desempenho: CBR vs Redes Neuronais</t>
  </si>
  <si>
    <t>Método</t>
  </si>
  <si>
    <t>Família</t>
  </si>
  <si>
    <t>Normaliz.</t>
  </si>
  <si>
    <t>Prec. Global</t>
  </si>
  <si>
    <t>Prec. Normal</t>
  </si>
  <si>
    <t>Prec. Elétrica</t>
  </si>
  <si>
    <t>Prec. Mecânica</t>
  </si>
  <si>
    <t>CBR melhor</t>
  </si>
  <si>
    <t>CBR</t>
  </si>
  <si>
    <t>Não</t>
  </si>
  <si>
    <t>100%</t>
  </si>
  <si>
    <t>Sim</t>
  </si>
  <si>
    <t>RN Melhor 1</t>
  </si>
  <si>
    <t>RN</t>
  </si>
  <si>
    <t>RN Melhor 2</t>
  </si>
  <si>
    <t>RN Melhor 3</t>
  </si>
  <si>
    <t>RN Pior 1</t>
  </si>
  <si>
    <t>46,7%</t>
  </si>
  <si>
    <t>38,5%</t>
  </si>
  <si>
    <t>70,0%</t>
  </si>
  <si>
    <t>28,6%</t>
  </si>
  <si>
    <t>84,6%</t>
  </si>
  <si>
    <t>0,0%</t>
  </si>
  <si>
    <t>42,9%</t>
  </si>
  <si>
    <t>RN Pior 2</t>
  </si>
  <si>
    <t>53,3%</t>
  </si>
  <si>
    <t>53,8%</t>
  </si>
  <si>
    <t>20,0%</t>
  </si>
  <si>
    <t>43,3%</t>
  </si>
  <si>
    <t>30,8%</t>
  </si>
  <si>
    <t>RN Pior 3</t>
  </si>
  <si>
    <t>92,3%</t>
  </si>
  <si>
    <t>90,0%</t>
  </si>
  <si>
    <t>0%</t>
  </si>
  <si>
    <t>30,0%</t>
  </si>
  <si>
    <t>85,7%</t>
  </si>
  <si>
    <t xml:space="preserve">  Análise Comparativa Qualitativa</t>
  </si>
  <si>
    <t>Critério</t>
  </si>
  <si>
    <t>RN (melhor)</t>
  </si>
  <si>
    <t>RN (pior)</t>
  </si>
  <si>
    <t>Vantagem</t>
  </si>
  <si>
    <t>Observação</t>
  </si>
  <si>
    <t>Precisão máxima</t>
  </si>
  <si>
    <t>31–70%</t>
  </si>
  <si>
    <t>Empate</t>
  </si>
  <si>
    <t>Ambos atingem 100% nas melhores configs</t>
  </si>
  <si>
    <t>Robustez</t>
  </si>
  <si>
    <t>Alta (6/6 configs)</t>
  </si>
  <si>
    <t>Alta (top 3)</t>
  </si>
  <si>
    <t>Baixa</t>
  </si>
  <si>
    <t>CBR robusto a variações de pesos</t>
  </si>
  <si>
    <t>Interpretabilidade</t>
  </si>
  <si>
    <t>Alta (casos similares)</t>
  </si>
  <si>
    <t>RN é caixa-negra</t>
  </si>
  <si>
    <t>Custo de treino</t>
  </si>
  <si>
    <t>Nulo</t>
  </si>
  <si>
    <t>Elevado</t>
  </si>
  <si>
    <t>CBR não tem fase de treino</t>
  </si>
  <si>
    <t>Custo de inferência</t>
  </si>
  <si>
    <t>O(n casos)</t>
  </si>
  <si>
    <t>O(1)</t>
  </si>
  <si>
    <t>RN é mais rápida em produção</t>
  </si>
  <si>
    <t>Sensib. hiperparâm.</t>
  </si>
  <si>
    <t>Moderada</t>
  </si>
  <si>
    <t>Muito alta</t>
  </si>
  <si>
    <t>traingd falha sem ajuste fino</t>
  </si>
  <si>
    <t>Nulo (top)</t>
  </si>
  <si>
    <t>Variável</t>
  </si>
  <si>
    <t>Variável entre modelos, não é factor decisivo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</si>
</sst>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FFFFFF"/>
      <name val="Arial"/>
    </font>
    <font>
      <b/>
      <sz val="10"/>
      <color rgb="FF1F3864"/>
      <name val="Arial"/>
    </font>
    <font>
      <b/>
      <sz val="18"/>
      <color rgb="FF1F3864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  <font>
      <b/>
      <sz val="14"/>
      <color rgb="FFFFFFFF"/>
      <name val="Arial"/>
    </font>
    <font>
      <b/>
      <sz val="11"/>
      <color rgb="FF1E8449"/>
      <name val="Arial"/>
    </font>
    <font>
      <b/>
      <sz val="11"/>
      <color rgb="FF000000"/>
      <name val="Arial"/>
    </font>
    <font>
      <sz val="11"/>
      <color rgb="FF1E8449"/>
      <name val="Arial"/>
    </font>
    <font>
      <sz val="11"/>
      <color rgb="FF922B21"/>
      <name val="Arial"/>
    </font>
    <font>
      <b/>
      <sz val="11"/>
      <color rgb="FFD35400"/>
      <name val="Arial"/>
    </font>
    <font>
      <b/>
      <sz val="11"/>
      <color rgb="FF922B21"/>
      <name val="Arial"/>
    </font>
    <font>
      <b/>
      <sz val="11"/>
      <color rgb="FF2E74B5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F5F9FD"/>
      </patternFill>
    </fill>
    <fill>
      <patternFill patternType="solid">
        <fgColor rgb="FF1E8449"/>
      </patternFill>
    </fill>
    <fill>
      <patternFill patternType="solid">
        <fgColor rgb="FF922B21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164" fontId="7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2" fontId="7" fillId="8" borderId="1" xfId="0" applyNumberFormat="1" applyFont="1" applyFill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6" fillId="3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0"/>
  <sheetViews>
    <sheetView showGridLines="0" workbookViewId="0">
      <selection activeCell="C30" sqref="C30"/>
    </sheetView>
  </sheetViews>
  <sheetFormatPr defaultRowHeight="15" x14ac:dyDescent="0.25"/>
  <cols>
    <col min="1" max="1" width="2" customWidth="1"/>
    <col min="2" max="2" width="38" customWidth="1"/>
    <col min="3" max="3" width="28" customWidth="1"/>
    <col min="4" max="4" width="2" customWidth="1"/>
  </cols>
  <sheetData>
    <row r="1" spans="2:3" ht="9.9499999999999993" customHeight="1" x14ac:dyDescent="0.25"/>
    <row r="2" spans="2:3" ht="38.1" customHeight="1" x14ac:dyDescent="0.25">
      <c r="B2" s="44" t="s">
        <v>0</v>
      </c>
      <c r="C2" s="42"/>
    </row>
    <row r="3" spans="2:3" ht="21.95" customHeight="1" x14ac:dyDescent="0.25">
      <c r="B3" s="43" t="s">
        <v>1</v>
      </c>
      <c r="C3" s="42"/>
    </row>
    <row r="4" spans="2:3" ht="9.9499999999999993" customHeight="1" x14ac:dyDescent="0.25"/>
    <row r="5" spans="2:3" ht="9.9499999999999993" customHeight="1" x14ac:dyDescent="0.25"/>
    <row r="6" spans="2:3" ht="20.100000000000001" customHeight="1" x14ac:dyDescent="0.25">
      <c r="B6" s="1" t="s">
        <v>2</v>
      </c>
      <c r="C6" s="1" t="s">
        <v>3</v>
      </c>
    </row>
    <row r="7" spans="2:3" ht="36" customHeight="1" x14ac:dyDescent="0.25">
      <c r="B7" s="2" t="s">
        <v>4</v>
      </c>
      <c r="C7" s="2" t="s">
        <v>5</v>
      </c>
    </row>
    <row r="9" spans="2:3" ht="20.100000000000001" customHeight="1" x14ac:dyDescent="0.25">
      <c r="B9" s="1" t="s">
        <v>6</v>
      </c>
      <c r="C9" s="1" t="s">
        <v>7</v>
      </c>
    </row>
    <row r="10" spans="2:3" ht="36" customHeight="1" x14ac:dyDescent="0.25">
      <c r="B10" s="3" t="s">
        <v>8</v>
      </c>
      <c r="C10" s="3" t="s">
        <v>8</v>
      </c>
    </row>
    <row r="12" spans="2:3" ht="20.100000000000001" customHeight="1" x14ac:dyDescent="0.25">
      <c r="B12" s="1" t="s">
        <v>9</v>
      </c>
      <c r="C12" s="1" t="s">
        <v>10</v>
      </c>
    </row>
    <row r="13" spans="2:3" ht="36" customHeight="1" x14ac:dyDescent="0.25">
      <c r="B13" s="4" t="s">
        <v>11</v>
      </c>
      <c r="C13" s="5" t="s">
        <v>12</v>
      </c>
    </row>
    <row r="16" spans="2:3" ht="9.9499999999999993" customHeight="1" x14ac:dyDescent="0.25"/>
    <row r="17" spans="2:3" ht="26.1" customHeight="1" x14ac:dyDescent="0.25">
      <c r="B17" s="37" t="s">
        <v>13</v>
      </c>
      <c r="C17" s="39"/>
    </row>
    <row r="18" spans="2:3" ht="21.95" customHeight="1" x14ac:dyDescent="0.25">
      <c r="B18" s="6" t="s">
        <v>14</v>
      </c>
      <c r="C18" s="6" t="s">
        <v>15</v>
      </c>
    </row>
    <row r="19" spans="2:3" x14ac:dyDescent="0.25">
      <c r="B19" s="7" t="s">
        <v>16</v>
      </c>
      <c r="C19" s="7" t="s">
        <v>17</v>
      </c>
    </row>
    <row r="20" spans="2:3" x14ac:dyDescent="0.25">
      <c r="B20" s="8" t="s">
        <v>18</v>
      </c>
      <c r="C20" s="8" t="s">
        <v>19</v>
      </c>
    </row>
    <row r="21" spans="2:3" x14ac:dyDescent="0.25">
      <c r="B21" s="7" t="s">
        <v>20</v>
      </c>
      <c r="C21" s="7" t="s">
        <v>21</v>
      </c>
    </row>
    <row r="22" spans="2:3" ht="9.9499999999999993" customHeight="1" x14ac:dyDescent="0.25"/>
    <row r="23" spans="2:3" ht="26.1" customHeight="1" x14ac:dyDescent="0.25">
      <c r="B23" s="37" t="s">
        <v>22</v>
      </c>
      <c r="C23" s="39"/>
    </row>
    <row r="24" spans="2:3" ht="21.95" customHeight="1" x14ac:dyDescent="0.25">
      <c r="B24" s="6" t="s">
        <v>23</v>
      </c>
      <c r="C24" s="6" t="s">
        <v>24</v>
      </c>
    </row>
    <row r="25" spans="2:3" ht="50.25" customHeight="1" x14ac:dyDescent="0.25">
      <c r="B25" s="9" t="s">
        <v>25</v>
      </c>
      <c r="C25" s="9" t="s">
        <v>26</v>
      </c>
    </row>
    <row r="26" spans="2:3" ht="46.5" customHeight="1" x14ac:dyDescent="0.25">
      <c r="B26" s="10" t="s">
        <v>27</v>
      </c>
      <c r="C26" s="10" t="s">
        <v>28</v>
      </c>
    </row>
    <row r="27" spans="2:3" ht="53.25" customHeight="1" x14ac:dyDescent="0.25">
      <c r="B27" s="9" t="s">
        <v>29</v>
      </c>
      <c r="C27" s="9" t="s">
        <v>30</v>
      </c>
    </row>
    <row r="28" spans="2:3" ht="42.75" customHeight="1" x14ac:dyDescent="0.25">
      <c r="B28" s="10" t="s">
        <v>31</v>
      </c>
      <c r="C28" s="10" t="s">
        <v>32</v>
      </c>
    </row>
    <row r="29" spans="2:3" ht="47.25" customHeight="1" x14ac:dyDescent="0.25">
      <c r="B29" s="9" t="s">
        <v>33</v>
      </c>
      <c r="C29" s="9" t="s">
        <v>181</v>
      </c>
    </row>
    <row r="30" spans="2:3" ht="59.25" customHeight="1" x14ac:dyDescent="0.25">
      <c r="B30" s="10" t="s">
        <v>34</v>
      </c>
      <c r="C30" s="10" t="s">
        <v>35</v>
      </c>
    </row>
  </sheetData>
  <mergeCells count="4">
    <mergeCell ref="B23:C23"/>
    <mergeCell ref="B3:C3"/>
    <mergeCell ref="B2:C2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2"/>
  <sheetViews>
    <sheetView showGridLines="0" topLeftCell="A19" workbookViewId="0"/>
  </sheetViews>
  <sheetFormatPr defaultRowHeight="15" x14ac:dyDescent="0.25"/>
  <cols>
    <col min="1" max="1" width="2" customWidth="1"/>
    <col min="2" max="2" width="8" customWidth="1"/>
    <col min="3" max="3" width="22" customWidth="1"/>
    <col min="4" max="4" width="20" customWidth="1"/>
    <col min="5" max="5" width="14" customWidth="1"/>
    <col min="6" max="6" width="2" customWidth="1"/>
  </cols>
  <sheetData>
    <row r="1" spans="2:5" ht="32.1" customHeight="1" x14ac:dyDescent="0.25">
      <c r="B1" s="41" t="s">
        <v>36</v>
      </c>
      <c r="C1" s="42"/>
      <c r="D1" s="42"/>
      <c r="E1" s="42"/>
    </row>
    <row r="2" spans="2:5" ht="20.100000000000001" customHeight="1" x14ac:dyDescent="0.25">
      <c r="B2" s="45" t="s">
        <v>37</v>
      </c>
      <c r="C2" s="42"/>
      <c r="D2" s="42"/>
      <c r="E2" s="42"/>
    </row>
    <row r="3" spans="2:5" ht="8.1" customHeight="1" x14ac:dyDescent="0.25"/>
    <row r="4" spans="2:5" ht="21.95" customHeight="1" x14ac:dyDescent="0.25">
      <c r="B4" s="6" t="s">
        <v>38</v>
      </c>
      <c r="C4" s="6" t="s">
        <v>39</v>
      </c>
      <c r="D4" s="6" t="s">
        <v>40</v>
      </c>
      <c r="E4" s="6" t="s">
        <v>24</v>
      </c>
    </row>
    <row r="5" spans="2:5" ht="15.95" customHeight="1" x14ac:dyDescent="0.25">
      <c r="B5" s="7">
        <v>1</v>
      </c>
      <c r="C5" s="7" t="s">
        <v>20</v>
      </c>
      <c r="D5" s="11">
        <v>0.94079999999999997</v>
      </c>
      <c r="E5" s="12" t="s">
        <v>41</v>
      </c>
    </row>
    <row r="6" spans="2:5" ht="15.95" customHeight="1" x14ac:dyDescent="0.25">
      <c r="B6" s="8">
        <v>2</v>
      </c>
      <c r="C6" s="8" t="s">
        <v>18</v>
      </c>
      <c r="D6" s="13">
        <v>0.95179999999999998</v>
      </c>
      <c r="E6" s="14" t="s">
        <v>41</v>
      </c>
    </row>
    <row r="7" spans="2:5" ht="15.95" customHeight="1" x14ac:dyDescent="0.25">
      <c r="B7" s="7">
        <v>3</v>
      </c>
      <c r="C7" s="7" t="s">
        <v>16</v>
      </c>
      <c r="D7" s="11">
        <v>0.95889999999999997</v>
      </c>
      <c r="E7" s="12" t="s">
        <v>41</v>
      </c>
    </row>
    <row r="8" spans="2:5" ht="15.95" customHeight="1" x14ac:dyDescent="0.25">
      <c r="B8" s="8">
        <v>4</v>
      </c>
      <c r="C8" s="8" t="s">
        <v>16</v>
      </c>
      <c r="D8" s="13">
        <v>0.9657</v>
      </c>
      <c r="E8" s="14" t="s">
        <v>41</v>
      </c>
    </row>
    <row r="9" spans="2:5" ht="15.95" customHeight="1" x14ac:dyDescent="0.25">
      <c r="B9" s="7">
        <v>5</v>
      </c>
      <c r="C9" s="7" t="s">
        <v>16</v>
      </c>
      <c r="D9" s="11">
        <v>0.96030000000000004</v>
      </c>
      <c r="E9" s="12" t="s">
        <v>41</v>
      </c>
    </row>
    <row r="10" spans="2:5" ht="15.95" customHeight="1" x14ac:dyDescent="0.25">
      <c r="B10" s="8">
        <v>6</v>
      </c>
      <c r="C10" s="8" t="s">
        <v>16</v>
      </c>
      <c r="D10" s="13">
        <v>0.95820000000000005</v>
      </c>
      <c r="E10" s="14" t="s">
        <v>41</v>
      </c>
    </row>
    <row r="11" spans="2:5" ht="15.95" customHeight="1" x14ac:dyDescent="0.25">
      <c r="B11" s="7">
        <v>7</v>
      </c>
      <c r="C11" s="7" t="s">
        <v>16</v>
      </c>
      <c r="D11" s="11">
        <v>0.94589999999999996</v>
      </c>
      <c r="E11" s="12" t="s">
        <v>41</v>
      </c>
    </row>
    <row r="12" spans="2:5" ht="15.95" customHeight="1" x14ac:dyDescent="0.25">
      <c r="B12" s="8">
        <v>8</v>
      </c>
      <c r="C12" s="8" t="s">
        <v>20</v>
      </c>
      <c r="D12" s="13">
        <v>0.93840000000000001</v>
      </c>
      <c r="E12" s="14" t="s">
        <v>41</v>
      </c>
    </row>
    <row r="13" spans="2:5" ht="15.95" customHeight="1" x14ac:dyDescent="0.25">
      <c r="B13" s="7">
        <v>9</v>
      </c>
      <c r="C13" s="7" t="s">
        <v>20</v>
      </c>
      <c r="D13" s="11">
        <v>0.95650000000000002</v>
      </c>
      <c r="E13" s="12" t="s">
        <v>41</v>
      </c>
    </row>
    <row r="14" spans="2:5" ht="15.95" customHeight="1" x14ac:dyDescent="0.25">
      <c r="B14" s="8">
        <v>10</v>
      </c>
      <c r="C14" s="8" t="s">
        <v>20</v>
      </c>
      <c r="D14" s="13">
        <v>0.94699999999999995</v>
      </c>
      <c r="E14" s="14" t="s">
        <v>41</v>
      </c>
    </row>
    <row r="15" spans="2:5" ht="15.95" customHeight="1" x14ac:dyDescent="0.25">
      <c r="B15" s="7">
        <v>11</v>
      </c>
      <c r="C15" s="7" t="s">
        <v>20</v>
      </c>
      <c r="D15" s="11">
        <v>0.93259999999999998</v>
      </c>
      <c r="E15" s="12" t="s">
        <v>41</v>
      </c>
    </row>
    <row r="16" spans="2:5" ht="15.95" customHeight="1" x14ac:dyDescent="0.25">
      <c r="B16" s="8">
        <v>12</v>
      </c>
      <c r="C16" s="8" t="s">
        <v>18</v>
      </c>
      <c r="D16" s="13">
        <v>0.94099999999999995</v>
      </c>
      <c r="E16" s="14" t="s">
        <v>41</v>
      </c>
    </row>
    <row r="17" spans="2:5" ht="15.95" customHeight="1" x14ac:dyDescent="0.25">
      <c r="B17" s="7">
        <v>13</v>
      </c>
      <c r="C17" s="7" t="s">
        <v>16</v>
      </c>
      <c r="D17" s="11">
        <v>0.94969999999999999</v>
      </c>
      <c r="E17" s="12" t="s">
        <v>41</v>
      </c>
    </row>
    <row r="18" spans="2:5" ht="15.95" customHeight="1" x14ac:dyDescent="0.25">
      <c r="B18" s="8">
        <v>14</v>
      </c>
      <c r="C18" s="8" t="s">
        <v>18</v>
      </c>
      <c r="D18" s="13">
        <v>0.95689999999999997</v>
      </c>
      <c r="E18" s="14" t="s">
        <v>41</v>
      </c>
    </row>
    <row r="19" spans="2:5" ht="15.95" customHeight="1" x14ac:dyDescent="0.25">
      <c r="B19" s="7">
        <v>15</v>
      </c>
      <c r="C19" s="7" t="s">
        <v>16</v>
      </c>
      <c r="D19" s="11">
        <v>0.96130000000000004</v>
      </c>
      <c r="E19" s="12" t="s">
        <v>41</v>
      </c>
    </row>
    <row r="20" spans="2:5" ht="15.95" customHeight="1" x14ac:dyDescent="0.25">
      <c r="B20" s="8">
        <v>16</v>
      </c>
      <c r="C20" s="8" t="s">
        <v>18</v>
      </c>
      <c r="D20" s="13">
        <v>0.93600000000000005</v>
      </c>
      <c r="E20" s="14" t="s">
        <v>41</v>
      </c>
    </row>
    <row r="21" spans="2:5" ht="15.95" customHeight="1" x14ac:dyDescent="0.25">
      <c r="B21" s="7">
        <v>17</v>
      </c>
      <c r="C21" s="7" t="s">
        <v>20</v>
      </c>
      <c r="D21" s="11">
        <v>0.94889999999999997</v>
      </c>
      <c r="E21" s="12" t="s">
        <v>41</v>
      </c>
    </row>
    <row r="22" spans="2:5" ht="15.95" customHeight="1" x14ac:dyDescent="0.25">
      <c r="B22" s="8">
        <v>18</v>
      </c>
      <c r="C22" s="8" t="s">
        <v>20</v>
      </c>
      <c r="D22" s="13">
        <v>0.94510000000000005</v>
      </c>
      <c r="E22" s="14" t="s">
        <v>41</v>
      </c>
    </row>
    <row r="23" spans="2:5" ht="15.95" customHeight="1" x14ac:dyDescent="0.25">
      <c r="B23" s="7">
        <v>19</v>
      </c>
      <c r="C23" s="7" t="s">
        <v>16</v>
      </c>
      <c r="D23" s="11">
        <v>0.93440000000000001</v>
      </c>
      <c r="E23" s="12" t="s">
        <v>41</v>
      </c>
    </row>
    <row r="24" spans="2:5" ht="15.95" customHeight="1" x14ac:dyDescent="0.25">
      <c r="B24" s="8">
        <v>20</v>
      </c>
      <c r="C24" s="8" t="s">
        <v>16</v>
      </c>
      <c r="D24" s="13">
        <v>0.9738</v>
      </c>
      <c r="E24" s="14" t="s">
        <v>41</v>
      </c>
    </row>
    <row r="25" spans="2:5" ht="15.95" customHeight="1" x14ac:dyDescent="0.25">
      <c r="B25" s="7">
        <v>21</v>
      </c>
      <c r="C25" s="7" t="s">
        <v>18</v>
      </c>
      <c r="D25" s="11">
        <v>0.92500000000000004</v>
      </c>
      <c r="E25" s="12" t="s">
        <v>41</v>
      </c>
    </row>
    <row r="26" spans="2:5" ht="15.95" customHeight="1" x14ac:dyDescent="0.25">
      <c r="B26" s="8">
        <v>22</v>
      </c>
      <c r="C26" s="8" t="s">
        <v>18</v>
      </c>
      <c r="D26" s="13">
        <v>0.95169999999999999</v>
      </c>
      <c r="E26" s="14" t="s">
        <v>41</v>
      </c>
    </row>
    <row r="27" spans="2:5" ht="15.95" customHeight="1" x14ac:dyDescent="0.25">
      <c r="B27" s="7">
        <v>23</v>
      </c>
      <c r="C27" s="7" t="s">
        <v>16</v>
      </c>
      <c r="D27" s="11">
        <v>0.96350000000000002</v>
      </c>
      <c r="E27" s="12" t="s">
        <v>41</v>
      </c>
    </row>
    <row r="28" spans="2:5" ht="15.95" customHeight="1" x14ac:dyDescent="0.25">
      <c r="B28" s="8">
        <v>24</v>
      </c>
      <c r="C28" s="8" t="s">
        <v>18</v>
      </c>
      <c r="D28" s="13">
        <v>0.95179999999999998</v>
      </c>
      <c r="E28" s="14" t="s">
        <v>41</v>
      </c>
    </row>
    <row r="29" spans="2:5" ht="15.95" customHeight="1" x14ac:dyDescent="0.25">
      <c r="B29" s="7">
        <v>25</v>
      </c>
      <c r="C29" s="7" t="s">
        <v>18</v>
      </c>
      <c r="D29" s="11">
        <v>0.94010000000000005</v>
      </c>
      <c r="E29" s="12" t="s">
        <v>41</v>
      </c>
    </row>
    <row r="30" spans="2:5" ht="15.95" customHeight="1" x14ac:dyDescent="0.25">
      <c r="B30" s="8">
        <v>26</v>
      </c>
      <c r="C30" s="8" t="s">
        <v>18</v>
      </c>
      <c r="D30" s="13">
        <v>0.96840000000000004</v>
      </c>
      <c r="E30" s="14" t="s">
        <v>41</v>
      </c>
    </row>
    <row r="31" spans="2:5" ht="15.95" customHeight="1" x14ac:dyDescent="0.25">
      <c r="B31" s="7">
        <v>27</v>
      </c>
      <c r="C31" s="7" t="s">
        <v>16</v>
      </c>
      <c r="D31" s="11">
        <v>0.96299999999999997</v>
      </c>
      <c r="E31" s="12" t="s">
        <v>41</v>
      </c>
    </row>
    <row r="32" spans="2:5" ht="15.95" customHeight="1" x14ac:dyDescent="0.25">
      <c r="B32" s="8">
        <v>28</v>
      </c>
      <c r="C32" s="8" t="s">
        <v>16</v>
      </c>
      <c r="D32" s="13">
        <v>0.95760000000000001</v>
      </c>
      <c r="E32" s="14" t="s">
        <v>41</v>
      </c>
    </row>
    <row r="33" spans="2:5" ht="15.95" customHeight="1" x14ac:dyDescent="0.25">
      <c r="B33" s="7">
        <v>29</v>
      </c>
      <c r="C33" s="7" t="s">
        <v>16</v>
      </c>
      <c r="D33" s="11">
        <v>0.96940000000000004</v>
      </c>
      <c r="E33" s="12" t="s">
        <v>41</v>
      </c>
    </row>
    <row r="34" spans="2:5" ht="15.95" customHeight="1" x14ac:dyDescent="0.25">
      <c r="B34" s="8">
        <v>30</v>
      </c>
      <c r="C34" s="8" t="s">
        <v>18</v>
      </c>
      <c r="D34" s="13">
        <v>0.93710000000000004</v>
      </c>
      <c r="E34" s="14" t="s">
        <v>41</v>
      </c>
    </row>
    <row r="35" spans="2:5" ht="18" customHeight="1" x14ac:dyDescent="0.25">
      <c r="B35" s="15" t="s">
        <v>42</v>
      </c>
      <c r="C35" s="15" t="s">
        <v>43</v>
      </c>
      <c r="D35" s="16">
        <f>AVERAGE(D5:D34)</f>
        <v>0.95102666666666669</v>
      </c>
      <c r="E35" s="15" t="s">
        <v>8</v>
      </c>
    </row>
    <row r="37" spans="2:5" ht="9.9499999999999993" customHeight="1" x14ac:dyDescent="0.25"/>
    <row r="38" spans="2:5" ht="26.1" customHeight="1" x14ac:dyDescent="0.25">
      <c r="B38" s="37" t="s">
        <v>44</v>
      </c>
      <c r="C38" s="38"/>
      <c r="D38" s="38"/>
      <c r="E38" s="39"/>
    </row>
    <row r="39" spans="2:5" ht="21.95" customHeight="1" x14ac:dyDescent="0.25">
      <c r="B39" s="6" t="s">
        <v>14</v>
      </c>
      <c r="C39" s="6" t="s">
        <v>45</v>
      </c>
      <c r="D39" s="6" t="s">
        <v>46</v>
      </c>
      <c r="E39" s="6" t="s">
        <v>47</v>
      </c>
    </row>
    <row r="40" spans="2:5" x14ac:dyDescent="0.25">
      <c r="B40" s="7" t="s">
        <v>16</v>
      </c>
      <c r="C40" s="7">
        <v>13</v>
      </c>
      <c r="D40" s="7">
        <v>13</v>
      </c>
      <c r="E40" s="7" t="s">
        <v>8</v>
      </c>
    </row>
    <row r="41" spans="2:5" x14ac:dyDescent="0.25">
      <c r="B41" s="8" t="s">
        <v>18</v>
      </c>
      <c r="C41" s="8">
        <v>10</v>
      </c>
      <c r="D41" s="8">
        <v>10</v>
      </c>
      <c r="E41" s="8" t="s">
        <v>8</v>
      </c>
    </row>
    <row r="42" spans="2:5" x14ac:dyDescent="0.25">
      <c r="B42" s="7" t="s">
        <v>20</v>
      </c>
      <c r="C42" s="7">
        <v>7</v>
      </c>
      <c r="D42" s="7">
        <v>7</v>
      </c>
      <c r="E42" s="7" t="s">
        <v>8</v>
      </c>
    </row>
  </sheetData>
  <mergeCells count="3">
    <mergeCell ref="B38:E38"/>
    <mergeCell ref="B1:E1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0"/>
  <sheetViews>
    <sheetView showGridLines="0" topLeftCell="A7" workbookViewId="0">
      <selection activeCell="S17" sqref="S17"/>
    </sheetView>
  </sheetViews>
  <sheetFormatPr defaultRowHeight="15" x14ac:dyDescent="0.25"/>
  <cols>
    <col min="1" max="1" width="2" customWidth="1"/>
    <col min="2" max="2" width="10" customWidth="1"/>
    <col min="3" max="3" width="14" customWidth="1"/>
    <col min="4" max="4" width="12" customWidth="1"/>
    <col min="5" max="5" width="14" customWidth="1"/>
    <col min="6" max="7" width="16" customWidth="1"/>
    <col min="8" max="8" width="2" customWidth="1"/>
  </cols>
  <sheetData>
    <row r="1" spans="2:7" ht="32.1" customHeight="1" x14ac:dyDescent="0.25">
      <c r="B1" s="41" t="s">
        <v>48</v>
      </c>
      <c r="C1" s="42"/>
      <c r="D1" s="42"/>
      <c r="E1" s="42"/>
      <c r="F1" s="42"/>
      <c r="G1" s="42"/>
    </row>
    <row r="2" spans="2:7" ht="8.1" customHeight="1" x14ac:dyDescent="0.25"/>
    <row r="3" spans="2:7" ht="26.1" customHeight="1" x14ac:dyDescent="0.25">
      <c r="B3" s="37" t="s">
        <v>49</v>
      </c>
      <c r="C3" s="38"/>
      <c r="D3" s="38"/>
      <c r="E3" s="38"/>
      <c r="F3" s="38"/>
      <c r="G3" s="39"/>
    </row>
    <row r="4" spans="2:7" ht="21.95" customHeight="1" x14ac:dyDescent="0.25">
      <c r="B4" s="17" t="s">
        <v>50</v>
      </c>
      <c r="C4" s="17" t="s">
        <v>51</v>
      </c>
      <c r="D4" s="17" t="s">
        <v>52</v>
      </c>
      <c r="E4" s="17" t="s">
        <v>53</v>
      </c>
      <c r="F4" s="17" t="s">
        <v>54</v>
      </c>
      <c r="G4" s="17" t="s">
        <v>55</v>
      </c>
    </row>
    <row r="5" spans="2:7" ht="32.25" customHeight="1" x14ac:dyDescent="0.25">
      <c r="B5" s="18" t="s">
        <v>56</v>
      </c>
      <c r="C5" s="19" t="s">
        <v>57</v>
      </c>
      <c r="D5" s="19" t="s">
        <v>58</v>
      </c>
      <c r="E5" s="19" t="s">
        <v>59</v>
      </c>
      <c r="F5" s="20" t="s">
        <v>60</v>
      </c>
      <c r="G5" s="20" t="s">
        <v>8</v>
      </c>
    </row>
    <row r="6" spans="2:7" ht="32.25" customHeight="1" x14ac:dyDescent="0.25">
      <c r="B6" s="18" t="s">
        <v>61</v>
      </c>
      <c r="C6" s="19" t="s">
        <v>62</v>
      </c>
      <c r="D6" s="19" t="s">
        <v>58</v>
      </c>
      <c r="E6" s="19" t="s">
        <v>59</v>
      </c>
      <c r="F6" s="20" t="s">
        <v>63</v>
      </c>
      <c r="G6" s="20" t="s">
        <v>8</v>
      </c>
    </row>
    <row r="7" spans="2:7" ht="30" customHeight="1" x14ac:dyDescent="0.25">
      <c r="B7" s="18" t="s">
        <v>64</v>
      </c>
      <c r="C7" s="19" t="s">
        <v>65</v>
      </c>
      <c r="D7" s="19" t="s">
        <v>58</v>
      </c>
      <c r="E7" s="19" t="s">
        <v>59</v>
      </c>
      <c r="F7" s="20" t="s">
        <v>66</v>
      </c>
      <c r="G7" s="20" t="s">
        <v>8</v>
      </c>
    </row>
    <row r="8" spans="2:7" ht="14.1" customHeight="1" x14ac:dyDescent="0.25"/>
    <row r="9" spans="2:7" ht="26.1" customHeight="1" x14ac:dyDescent="0.25">
      <c r="B9" s="37" t="s">
        <v>67</v>
      </c>
      <c r="C9" s="38"/>
      <c r="D9" s="38"/>
      <c r="E9" s="38"/>
      <c r="F9" s="38"/>
      <c r="G9" s="39"/>
    </row>
    <row r="10" spans="2:7" ht="33" customHeight="1" x14ac:dyDescent="0.25">
      <c r="B10" s="21" t="s">
        <v>50</v>
      </c>
      <c r="C10" s="21" t="s">
        <v>51</v>
      </c>
      <c r="D10" s="21" t="s">
        <v>52</v>
      </c>
      <c r="E10" s="21" t="s">
        <v>53</v>
      </c>
      <c r="F10" s="21" t="s">
        <v>54</v>
      </c>
      <c r="G10" s="21" t="s">
        <v>55</v>
      </c>
    </row>
    <row r="11" spans="2:7" ht="33" customHeight="1" x14ac:dyDescent="0.25">
      <c r="B11" s="22" t="s">
        <v>68</v>
      </c>
      <c r="C11" s="23" t="s">
        <v>69</v>
      </c>
      <c r="D11" s="23" t="s">
        <v>70</v>
      </c>
      <c r="E11" s="23" t="s">
        <v>71</v>
      </c>
      <c r="F11" s="24" t="s">
        <v>72</v>
      </c>
      <c r="G11" s="24" t="s">
        <v>73</v>
      </c>
    </row>
    <row r="12" spans="2:7" ht="25.5" customHeight="1" x14ac:dyDescent="0.25">
      <c r="B12" s="22" t="s">
        <v>74</v>
      </c>
      <c r="C12" s="23" t="s">
        <v>75</v>
      </c>
      <c r="D12" s="23" t="s">
        <v>70</v>
      </c>
      <c r="E12" s="23" t="s">
        <v>59</v>
      </c>
      <c r="F12" s="24" t="s">
        <v>76</v>
      </c>
      <c r="G12" s="24" t="s">
        <v>77</v>
      </c>
    </row>
    <row r="13" spans="2:7" ht="27.75" customHeight="1" x14ac:dyDescent="0.25">
      <c r="B13" s="22" t="s">
        <v>78</v>
      </c>
      <c r="C13" s="23" t="s">
        <v>79</v>
      </c>
      <c r="D13" s="23" t="s">
        <v>70</v>
      </c>
      <c r="E13" s="23" t="s">
        <v>59</v>
      </c>
      <c r="F13" s="24" t="s">
        <v>80</v>
      </c>
      <c r="G13" s="24" t="s">
        <v>81</v>
      </c>
    </row>
    <row r="14" spans="2:7" ht="14.1" customHeight="1" x14ac:dyDescent="0.25"/>
    <row r="15" spans="2:7" ht="26.1" customHeight="1" x14ac:dyDescent="0.25">
      <c r="B15" s="37" t="s">
        <v>82</v>
      </c>
      <c r="C15" s="38"/>
      <c r="D15" s="38"/>
      <c r="E15" s="38"/>
      <c r="F15" s="38"/>
      <c r="G15" s="39"/>
    </row>
    <row r="16" spans="2:7" ht="26.25" customHeight="1" x14ac:dyDescent="0.25">
      <c r="B16" s="6" t="s">
        <v>83</v>
      </c>
      <c r="C16" s="6" t="s">
        <v>84</v>
      </c>
      <c r="D16" s="6" t="s">
        <v>85</v>
      </c>
      <c r="E16" s="6" t="s">
        <v>86</v>
      </c>
      <c r="F16" s="40"/>
      <c r="G16" s="39"/>
    </row>
    <row r="17" spans="2:6" ht="41.25" customHeight="1" x14ac:dyDescent="0.25">
      <c r="B17" s="25" t="s">
        <v>87</v>
      </c>
      <c r="C17" s="25" t="s">
        <v>58</v>
      </c>
      <c r="D17" s="25" t="s">
        <v>70</v>
      </c>
      <c r="E17" s="26" t="s">
        <v>88</v>
      </c>
      <c r="F17" s="9" t="s">
        <v>89</v>
      </c>
    </row>
    <row r="18" spans="2:6" ht="33" customHeight="1" x14ac:dyDescent="0.25">
      <c r="B18" s="27" t="s">
        <v>90</v>
      </c>
      <c r="C18" s="27" t="s">
        <v>91</v>
      </c>
      <c r="D18" s="27" t="s">
        <v>92</v>
      </c>
      <c r="E18" s="28" t="s">
        <v>93</v>
      </c>
      <c r="F18" s="10" t="s">
        <v>94</v>
      </c>
    </row>
    <row r="19" spans="2:6" ht="43.5" customHeight="1" x14ac:dyDescent="0.25">
      <c r="B19" s="25" t="s">
        <v>95</v>
      </c>
      <c r="C19" s="25" t="s">
        <v>96</v>
      </c>
      <c r="D19" s="25" t="s">
        <v>97</v>
      </c>
      <c r="E19" s="29" t="s">
        <v>93</v>
      </c>
      <c r="F19" s="9" t="s">
        <v>98</v>
      </c>
    </row>
    <row r="20" spans="2:6" ht="36" customHeight="1" x14ac:dyDescent="0.25">
      <c r="B20" s="27" t="s">
        <v>99</v>
      </c>
      <c r="C20" s="27" t="s">
        <v>100</v>
      </c>
      <c r="D20" s="27" t="s">
        <v>100</v>
      </c>
      <c r="E20" s="30" t="s">
        <v>101</v>
      </c>
      <c r="F20" s="10" t="s">
        <v>102</v>
      </c>
    </row>
  </sheetData>
  <mergeCells count="5">
    <mergeCell ref="B3:G3"/>
    <mergeCell ref="F16:G16"/>
    <mergeCell ref="B9:G9"/>
    <mergeCell ref="B1:G1"/>
    <mergeCell ref="B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23"/>
  <sheetViews>
    <sheetView showGridLines="0" workbookViewId="0"/>
  </sheetViews>
  <sheetFormatPr defaultRowHeight="15" x14ac:dyDescent="0.25"/>
  <cols>
    <col min="1" max="1" width="2" customWidth="1"/>
    <col min="2" max="3" width="8" customWidth="1"/>
    <col min="4" max="5" width="12" customWidth="1"/>
    <col min="6" max="8" width="14" customWidth="1"/>
    <col min="9" max="9" width="2" customWidth="1"/>
  </cols>
  <sheetData>
    <row r="1" spans="2:8" ht="32.1" customHeight="1" x14ac:dyDescent="0.25">
      <c r="B1" s="41" t="s">
        <v>103</v>
      </c>
      <c r="C1" s="42"/>
      <c r="D1" s="42"/>
      <c r="E1" s="42"/>
      <c r="F1" s="42"/>
      <c r="G1" s="42"/>
      <c r="H1" s="42"/>
    </row>
    <row r="2" spans="2:8" ht="8.1" customHeight="1" x14ac:dyDescent="0.25"/>
    <row r="3" spans="2:8" ht="21.95" customHeight="1" x14ac:dyDescent="0.25">
      <c r="B3" s="6" t="s">
        <v>104</v>
      </c>
      <c r="C3" s="6" t="s">
        <v>105</v>
      </c>
      <c r="D3" s="6" t="s">
        <v>52</v>
      </c>
      <c r="E3" s="6" t="s">
        <v>53</v>
      </c>
      <c r="F3" s="6" t="s">
        <v>106</v>
      </c>
      <c r="G3" s="6" t="s">
        <v>107</v>
      </c>
      <c r="H3" s="6" t="s">
        <v>108</v>
      </c>
    </row>
    <row r="4" spans="2:8" ht="15" customHeight="1" x14ac:dyDescent="0.25">
      <c r="B4" s="7">
        <v>1</v>
      </c>
      <c r="C4" s="7">
        <v>10</v>
      </c>
      <c r="D4" s="7" t="s">
        <v>70</v>
      </c>
      <c r="E4" s="7" t="s">
        <v>109</v>
      </c>
      <c r="F4" s="7" t="s">
        <v>110</v>
      </c>
      <c r="G4" s="31">
        <v>47.64</v>
      </c>
      <c r="H4" s="31">
        <v>47.57</v>
      </c>
    </row>
    <row r="5" spans="2:8" ht="15" customHeight="1" x14ac:dyDescent="0.25">
      <c r="B5" s="8">
        <v>2</v>
      </c>
      <c r="C5" s="8">
        <v>10</v>
      </c>
      <c r="D5" s="8" t="s">
        <v>70</v>
      </c>
      <c r="E5" s="8" t="s">
        <v>109</v>
      </c>
      <c r="F5" s="8" t="s">
        <v>110</v>
      </c>
      <c r="G5" s="32">
        <v>59.22</v>
      </c>
      <c r="H5" s="32">
        <v>58.64</v>
      </c>
    </row>
    <row r="6" spans="2:8" ht="15" customHeight="1" x14ac:dyDescent="0.25">
      <c r="B6" s="7">
        <v>3</v>
      </c>
      <c r="C6" s="7">
        <v>10</v>
      </c>
      <c r="D6" s="7" t="s">
        <v>70</v>
      </c>
      <c r="E6" s="7" t="s">
        <v>109</v>
      </c>
      <c r="F6" s="7" t="s">
        <v>110</v>
      </c>
      <c r="G6" s="31">
        <v>37.67</v>
      </c>
      <c r="H6" s="31">
        <v>37.909999999999997</v>
      </c>
    </row>
    <row r="7" spans="2:8" ht="15" customHeight="1" x14ac:dyDescent="0.25">
      <c r="B7" s="8">
        <v>4</v>
      </c>
      <c r="C7" s="8">
        <v>10</v>
      </c>
      <c r="D7" s="8" t="s">
        <v>70</v>
      </c>
      <c r="E7" s="8" t="s">
        <v>109</v>
      </c>
      <c r="F7" s="8" t="s">
        <v>110</v>
      </c>
      <c r="G7" s="32">
        <v>45.02</v>
      </c>
      <c r="H7" s="32">
        <v>44.69</v>
      </c>
    </row>
    <row r="8" spans="2:8" ht="15" customHeight="1" x14ac:dyDescent="0.25">
      <c r="B8" s="7">
        <v>5</v>
      </c>
      <c r="C8" s="7">
        <v>10</v>
      </c>
      <c r="D8" s="7" t="s">
        <v>70</v>
      </c>
      <c r="E8" s="7" t="s">
        <v>109</v>
      </c>
      <c r="F8" s="7" t="s">
        <v>110</v>
      </c>
      <c r="G8" s="31">
        <v>33.159999999999997</v>
      </c>
      <c r="H8" s="31">
        <v>32.770000000000003</v>
      </c>
    </row>
    <row r="9" spans="2:8" ht="15" customHeight="1" x14ac:dyDescent="0.25">
      <c r="B9" s="8">
        <v>6</v>
      </c>
      <c r="C9" s="8">
        <v>10</v>
      </c>
      <c r="D9" s="8" t="s">
        <v>70</v>
      </c>
      <c r="E9" s="8" t="s">
        <v>109</v>
      </c>
      <c r="F9" s="8" t="s">
        <v>110</v>
      </c>
      <c r="G9" s="32">
        <v>39.54</v>
      </c>
      <c r="H9" s="32">
        <v>39.68</v>
      </c>
    </row>
    <row r="10" spans="2:8" ht="15" customHeight="1" x14ac:dyDescent="0.25">
      <c r="B10" s="7">
        <v>7</v>
      </c>
      <c r="C10" s="7">
        <v>10</v>
      </c>
      <c r="D10" s="7" t="s">
        <v>70</v>
      </c>
      <c r="E10" s="7" t="s">
        <v>109</v>
      </c>
      <c r="F10" s="7" t="s">
        <v>96</v>
      </c>
      <c r="G10" s="31">
        <v>43.61</v>
      </c>
      <c r="H10" s="31">
        <v>42.76</v>
      </c>
    </row>
    <row r="11" spans="2:8" ht="15" customHeight="1" x14ac:dyDescent="0.25">
      <c r="B11" s="8">
        <v>8</v>
      </c>
      <c r="C11" s="8">
        <v>10</v>
      </c>
      <c r="D11" s="8" t="s">
        <v>70</v>
      </c>
      <c r="E11" s="8" t="s">
        <v>109</v>
      </c>
      <c r="F11" s="8" t="s">
        <v>96</v>
      </c>
      <c r="G11" s="32">
        <v>62.19</v>
      </c>
      <c r="H11" s="32">
        <v>62.54</v>
      </c>
    </row>
    <row r="12" spans="2:8" ht="15" customHeight="1" x14ac:dyDescent="0.25">
      <c r="B12" s="7">
        <v>9</v>
      </c>
      <c r="C12" s="7">
        <v>10</v>
      </c>
      <c r="D12" s="7" t="s">
        <v>70</v>
      </c>
      <c r="E12" s="7" t="s">
        <v>109</v>
      </c>
      <c r="F12" s="7" t="s">
        <v>96</v>
      </c>
      <c r="G12" s="31">
        <v>33.840000000000003</v>
      </c>
      <c r="H12" s="31">
        <v>34.9</v>
      </c>
    </row>
    <row r="13" spans="2:8" ht="15" customHeight="1" x14ac:dyDescent="0.25">
      <c r="B13" s="8">
        <v>10</v>
      </c>
      <c r="C13" s="8">
        <v>10</v>
      </c>
      <c r="D13" s="8" t="s">
        <v>70</v>
      </c>
      <c r="E13" s="8" t="s">
        <v>109</v>
      </c>
      <c r="F13" s="8" t="s">
        <v>96</v>
      </c>
      <c r="G13" s="32">
        <v>45.66</v>
      </c>
      <c r="H13" s="32">
        <v>45.1</v>
      </c>
    </row>
    <row r="14" spans="2:8" ht="15" customHeight="1" x14ac:dyDescent="0.25">
      <c r="B14" s="7">
        <v>11</v>
      </c>
      <c r="C14" s="7">
        <v>10</v>
      </c>
      <c r="D14" s="7" t="s">
        <v>70</v>
      </c>
      <c r="E14" s="7" t="s">
        <v>109</v>
      </c>
      <c r="F14" s="7" t="s">
        <v>96</v>
      </c>
      <c r="G14" s="31">
        <v>34.39</v>
      </c>
      <c r="H14" s="31">
        <v>33.54</v>
      </c>
    </row>
    <row r="15" spans="2:8" ht="15" customHeight="1" x14ac:dyDescent="0.25">
      <c r="B15" s="8">
        <v>12</v>
      </c>
      <c r="C15" s="8">
        <v>10</v>
      </c>
      <c r="D15" s="8" t="s">
        <v>70</v>
      </c>
      <c r="E15" s="8" t="s">
        <v>109</v>
      </c>
      <c r="F15" s="8" t="s">
        <v>96</v>
      </c>
      <c r="G15" s="32">
        <v>38.090000000000003</v>
      </c>
      <c r="H15" s="32">
        <v>39.28</v>
      </c>
    </row>
    <row r="16" spans="2:8" ht="15" customHeight="1" x14ac:dyDescent="0.25">
      <c r="B16" s="7">
        <v>13</v>
      </c>
      <c r="C16" s="7">
        <v>10</v>
      </c>
      <c r="D16" s="7" t="s">
        <v>70</v>
      </c>
      <c r="E16" s="7" t="s">
        <v>109</v>
      </c>
      <c r="F16" s="7" t="s">
        <v>97</v>
      </c>
      <c r="G16" s="31">
        <v>38.17</v>
      </c>
      <c r="H16" s="31">
        <v>37.85</v>
      </c>
    </row>
    <row r="17" spans="2:8" ht="15" customHeight="1" x14ac:dyDescent="0.25">
      <c r="B17" s="8">
        <v>14</v>
      </c>
      <c r="C17" s="8">
        <v>10</v>
      </c>
      <c r="D17" s="8" t="s">
        <v>70</v>
      </c>
      <c r="E17" s="8" t="s">
        <v>109</v>
      </c>
      <c r="F17" s="8" t="s">
        <v>97</v>
      </c>
      <c r="G17" s="32">
        <v>58.8</v>
      </c>
      <c r="H17" s="32">
        <v>59.12</v>
      </c>
    </row>
    <row r="18" spans="2:8" ht="15" customHeight="1" x14ac:dyDescent="0.25">
      <c r="B18" s="7">
        <v>15</v>
      </c>
      <c r="C18" s="7">
        <v>10</v>
      </c>
      <c r="D18" s="7" t="s">
        <v>70</v>
      </c>
      <c r="E18" s="7" t="s">
        <v>109</v>
      </c>
      <c r="F18" s="7" t="s">
        <v>97</v>
      </c>
      <c r="G18" s="31">
        <v>40.99</v>
      </c>
      <c r="H18" s="31">
        <v>40.78</v>
      </c>
    </row>
    <row r="19" spans="2:8" ht="15" customHeight="1" x14ac:dyDescent="0.25">
      <c r="B19" s="8">
        <v>16</v>
      </c>
      <c r="C19" s="8">
        <v>10</v>
      </c>
      <c r="D19" s="8" t="s">
        <v>70</v>
      </c>
      <c r="E19" s="8" t="s">
        <v>109</v>
      </c>
      <c r="F19" s="8" t="s">
        <v>97</v>
      </c>
      <c r="G19" s="32">
        <v>44.23</v>
      </c>
      <c r="H19" s="32">
        <v>44.37</v>
      </c>
    </row>
    <row r="20" spans="2:8" ht="15" customHeight="1" x14ac:dyDescent="0.25">
      <c r="B20" s="7">
        <v>17</v>
      </c>
      <c r="C20" s="7">
        <v>10</v>
      </c>
      <c r="D20" s="7" t="s">
        <v>70</v>
      </c>
      <c r="E20" s="7" t="s">
        <v>109</v>
      </c>
      <c r="F20" s="7" t="s">
        <v>97</v>
      </c>
      <c r="G20" s="31">
        <v>32.64</v>
      </c>
      <c r="H20" s="31">
        <v>31.93</v>
      </c>
    </row>
    <row r="21" spans="2:8" ht="15" customHeight="1" x14ac:dyDescent="0.25">
      <c r="B21" s="8">
        <v>18</v>
      </c>
      <c r="C21" s="8">
        <v>10</v>
      </c>
      <c r="D21" s="8" t="s">
        <v>70</v>
      </c>
      <c r="E21" s="8" t="s">
        <v>109</v>
      </c>
      <c r="F21" s="8" t="s">
        <v>97</v>
      </c>
      <c r="G21" s="32">
        <v>36.479999999999997</v>
      </c>
      <c r="H21" s="32">
        <v>36.6</v>
      </c>
    </row>
    <row r="22" spans="2:8" ht="15" customHeight="1" x14ac:dyDescent="0.25">
      <c r="B22" s="7">
        <v>19</v>
      </c>
      <c r="C22" s="7">
        <v>10</v>
      </c>
      <c r="D22" s="7" t="s">
        <v>70</v>
      </c>
      <c r="E22" s="7" t="s">
        <v>71</v>
      </c>
      <c r="F22" s="7" t="s">
        <v>110</v>
      </c>
      <c r="G22" s="31">
        <v>33.729999999999997</v>
      </c>
      <c r="H22" s="31">
        <v>34.049999999999997</v>
      </c>
    </row>
    <row r="23" spans="2:8" ht="15" customHeight="1" x14ac:dyDescent="0.25">
      <c r="B23" s="8">
        <v>20</v>
      </c>
      <c r="C23" s="8">
        <v>10</v>
      </c>
      <c r="D23" s="8" t="s">
        <v>70</v>
      </c>
      <c r="E23" s="8" t="s">
        <v>71</v>
      </c>
      <c r="F23" s="8" t="s">
        <v>110</v>
      </c>
      <c r="G23" s="32">
        <v>35.54</v>
      </c>
      <c r="H23" s="32">
        <v>36.21</v>
      </c>
    </row>
    <row r="24" spans="2:8" ht="15" customHeight="1" x14ac:dyDescent="0.25">
      <c r="B24" s="7">
        <v>21</v>
      </c>
      <c r="C24" s="7">
        <v>10</v>
      </c>
      <c r="D24" s="7" t="s">
        <v>70</v>
      </c>
      <c r="E24" s="7" t="s">
        <v>71</v>
      </c>
      <c r="F24" s="7" t="s">
        <v>110</v>
      </c>
      <c r="G24" s="31">
        <v>32.42</v>
      </c>
      <c r="H24" s="31">
        <v>32.799999999999997</v>
      </c>
    </row>
    <row r="25" spans="2:8" ht="15" customHeight="1" x14ac:dyDescent="0.25">
      <c r="B25" s="8">
        <v>22</v>
      </c>
      <c r="C25" s="8">
        <v>10</v>
      </c>
      <c r="D25" s="8" t="s">
        <v>70</v>
      </c>
      <c r="E25" s="8" t="s">
        <v>71</v>
      </c>
      <c r="F25" s="8" t="s">
        <v>110</v>
      </c>
      <c r="G25" s="32">
        <v>35.33</v>
      </c>
      <c r="H25" s="32">
        <v>34.71</v>
      </c>
    </row>
    <row r="26" spans="2:8" ht="15" customHeight="1" x14ac:dyDescent="0.25">
      <c r="B26" s="7">
        <v>23</v>
      </c>
      <c r="C26" s="7">
        <v>10</v>
      </c>
      <c r="D26" s="7" t="s">
        <v>70</v>
      </c>
      <c r="E26" s="7" t="s">
        <v>71</v>
      </c>
      <c r="F26" s="7" t="s">
        <v>110</v>
      </c>
      <c r="G26" s="31">
        <v>32.65</v>
      </c>
      <c r="H26" s="31">
        <v>32.409999999999997</v>
      </c>
    </row>
    <row r="27" spans="2:8" ht="15" customHeight="1" x14ac:dyDescent="0.25">
      <c r="B27" s="8">
        <v>24</v>
      </c>
      <c r="C27" s="8">
        <v>10</v>
      </c>
      <c r="D27" s="8" t="s">
        <v>70</v>
      </c>
      <c r="E27" s="8" t="s">
        <v>71</v>
      </c>
      <c r="F27" s="8" t="s">
        <v>110</v>
      </c>
      <c r="G27" s="32">
        <v>33.33</v>
      </c>
      <c r="H27" s="32">
        <v>34.01</v>
      </c>
    </row>
    <row r="28" spans="2:8" ht="15" customHeight="1" x14ac:dyDescent="0.25">
      <c r="B28" s="7">
        <v>25</v>
      </c>
      <c r="C28" s="7">
        <v>10</v>
      </c>
      <c r="D28" s="7" t="s">
        <v>70</v>
      </c>
      <c r="E28" s="7" t="s">
        <v>71</v>
      </c>
      <c r="F28" s="7" t="s">
        <v>96</v>
      </c>
      <c r="G28" s="31">
        <v>32.270000000000003</v>
      </c>
      <c r="H28" s="31">
        <v>32.119999999999997</v>
      </c>
    </row>
    <row r="29" spans="2:8" ht="15" customHeight="1" x14ac:dyDescent="0.25">
      <c r="B29" s="8">
        <v>26</v>
      </c>
      <c r="C29" s="8">
        <v>10</v>
      </c>
      <c r="D29" s="8" t="s">
        <v>70</v>
      </c>
      <c r="E29" s="8" t="s">
        <v>71</v>
      </c>
      <c r="F29" s="8" t="s">
        <v>96</v>
      </c>
      <c r="G29" s="32">
        <v>33.200000000000003</v>
      </c>
      <c r="H29" s="32">
        <v>32.04</v>
      </c>
    </row>
    <row r="30" spans="2:8" ht="15" customHeight="1" x14ac:dyDescent="0.25">
      <c r="B30" s="7">
        <v>27</v>
      </c>
      <c r="C30" s="7">
        <v>10</v>
      </c>
      <c r="D30" s="7" t="s">
        <v>70</v>
      </c>
      <c r="E30" s="7" t="s">
        <v>71</v>
      </c>
      <c r="F30" s="7" t="s">
        <v>96</v>
      </c>
      <c r="G30" s="31">
        <v>36.01</v>
      </c>
      <c r="H30" s="31">
        <v>36.76</v>
      </c>
    </row>
    <row r="31" spans="2:8" ht="15" customHeight="1" x14ac:dyDescent="0.25">
      <c r="B31" s="8">
        <v>28</v>
      </c>
      <c r="C31" s="8">
        <v>10</v>
      </c>
      <c r="D31" s="8" t="s">
        <v>70</v>
      </c>
      <c r="E31" s="8" t="s">
        <v>71</v>
      </c>
      <c r="F31" s="8" t="s">
        <v>96</v>
      </c>
      <c r="G31" s="32">
        <v>36.31</v>
      </c>
      <c r="H31" s="32">
        <v>35.9</v>
      </c>
    </row>
    <row r="32" spans="2:8" ht="15" customHeight="1" x14ac:dyDescent="0.25">
      <c r="B32" s="7">
        <v>29</v>
      </c>
      <c r="C32" s="7">
        <v>10</v>
      </c>
      <c r="D32" s="7" t="s">
        <v>70</v>
      </c>
      <c r="E32" s="7" t="s">
        <v>71</v>
      </c>
      <c r="F32" s="7" t="s">
        <v>96</v>
      </c>
      <c r="G32" s="31">
        <v>35.340000000000003</v>
      </c>
      <c r="H32" s="31">
        <v>34.78</v>
      </c>
    </row>
    <row r="33" spans="2:8" ht="15" customHeight="1" x14ac:dyDescent="0.25">
      <c r="B33" s="8">
        <v>30</v>
      </c>
      <c r="C33" s="8">
        <v>10</v>
      </c>
      <c r="D33" s="8" t="s">
        <v>70</v>
      </c>
      <c r="E33" s="8" t="s">
        <v>71</v>
      </c>
      <c r="F33" s="8" t="s">
        <v>96</v>
      </c>
      <c r="G33" s="32">
        <v>34.99</v>
      </c>
      <c r="H33" s="32">
        <v>35.979999999999997</v>
      </c>
    </row>
    <row r="34" spans="2:8" ht="15" customHeight="1" x14ac:dyDescent="0.25">
      <c r="B34" s="7">
        <v>31</v>
      </c>
      <c r="C34" s="7">
        <v>10</v>
      </c>
      <c r="D34" s="7" t="s">
        <v>70</v>
      </c>
      <c r="E34" s="7" t="s">
        <v>71</v>
      </c>
      <c r="F34" s="7" t="s">
        <v>97</v>
      </c>
      <c r="G34" s="31">
        <v>32.1</v>
      </c>
      <c r="H34" s="31">
        <v>32.61</v>
      </c>
    </row>
    <row r="35" spans="2:8" ht="15" customHeight="1" x14ac:dyDescent="0.25">
      <c r="B35" s="8">
        <v>32</v>
      </c>
      <c r="C35" s="8">
        <v>10</v>
      </c>
      <c r="D35" s="8" t="s">
        <v>70</v>
      </c>
      <c r="E35" s="8" t="s">
        <v>71</v>
      </c>
      <c r="F35" s="8" t="s">
        <v>97</v>
      </c>
      <c r="G35" s="32">
        <v>37.42</v>
      </c>
      <c r="H35" s="32">
        <v>37.18</v>
      </c>
    </row>
    <row r="36" spans="2:8" ht="15" customHeight="1" x14ac:dyDescent="0.25">
      <c r="B36" s="7">
        <v>33</v>
      </c>
      <c r="C36" s="7">
        <v>10</v>
      </c>
      <c r="D36" s="7" t="s">
        <v>70</v>
      </c>
      <c r="E36" s="7" t="s">
        <v>71</v>
      </c>
      <c r="F36" s="7" t="s">
        <v>97</v>
      </c>
      <c r="G36" s="31">
        <v>32.06</v>
      </c>
      <c r="H36" s="31">
        <v>31.87</v>
      </c>
    </row>
    <row r="37" spans="2:8" ht="15" customHeight="1" x14ac:dyDescent="0.25">
      <c r="B37" s="33">
        <v>34</v>
      </c>
      <c r="C37" s="33">
        <v>10</v>
      </c>
      <c r="D37" s="33" t="s">
        <v>70</v>
      </c>
      <c r="E37" s="33" t="s">
        <v>71</v>
      </c>
      <c r="F37" s="33" t="s">
        <v>97</v>
      </c>
      <c r="G37" s="34">
        <v>31.33</v>
      </c>
      <c r="H37" s="34">
        <v>31.23</v>
      </c>
    </row>
    <row r="38" spans="2:8" ht="15" customHeight="1" x14ac:dyDescent="0.25">
      <c r="B38" s="7">
        <v>35</v>
      </c>
      <c r="C38" s="7">
        <v>10</v>
      </c>
      <c r="D38" s="7" t="s">
        <v>70</v>
      </c>
      <c r="E38" s="7" t="s">
        <v>71</v>
      </c>
      <c r="F38" s="7" t="s">
        <v>97</v>
      </c>
      <c r="G38" s="31">
        <v>33.369999999999997</v>
      </c>
      <c r="H38" s="31">
        <v>32.56</v>
      </c>
    </row>
    <row r="39" spans="2:8" ht="15" customHeight="1" x14ac:dyDescent="0.25">
      <c r="B39" s="8">
        <v>36</v>
      </c>
      <c r="C39" s="8">
        <v>10</v>
      </c>
      <c r="D39" s="8" t="s">
        <v>70</v>
      </c>
      <c r="E39" s="8" t="s">
        <v>71</v>
      </c>
      <c r="F39" s="8" t="s">
        <v>97</v>
      </c>
      <c r="G39" s="32">
        <v>33.99</v>
      </c>
      <c r="H39" s="32">
        <v>33.619999999999997</v>
      </c>
    </row>
    <row r="40" spans="2:8" ht="15" customHeight="1" x14ac:dyDescent="0.25">
      <c r="B40" s="7">
        <v>37</v>
      </c>
      <c r="C40" s="7">
        <v>10</v>
      </c>
      <c r="D40" s="7" t="s">
        <v>70</v>
      </c>
      <c r="E40" s="7" t="s">
        <v>59</v>
      </c>
      <c r="F40" s="7" t="s">
        <v>110</v>
      </c>
      <c r="G40" s="31">
        <v>35.15</v>
      </c>
      <c r="H40" s="31">
        <v>34.729999999999997</v>
      </c>
    </row>
    <row r="41" spans="2:8" ht="15" customHeight="1" x14ac:dyDescent="0.25">
      <c r="B41" s="8">
        <v>38</v>
      </c>
      <c r="C41" s="8">
        <v>10</v>
      </c>
      <c r="D41" s="8" t="s">
        <v>70</v>
      </c>
      <c r="E41" s="8" t="s">
        <v>59</v>
      </c>
      <c r="F41" s="8" t="s">
        <v>110</v>
      </c>
      <c r="G41" s="32">
        <v>42.24</v>
      </c>
      <c r="H41" s="32">
        <v>42.8</v>
      </c>
    </row>
    <row r="42" spans="2:8" ht="15" customHeight="1" x14ac:dyDescent="0.25">
      <c r="B42" s="7">
        <v>39</v>
      </c>
      <c r="C42" s="7">
        <v>10</v>
      </c>
      <c r="D42" s="7" t="s">
        <v>70</v>
      </c>
      <c r="E42" s="7" t="s">
        <v>59</v>
      </c>
      <c r="F42" s="7" t="s">
        <v>110</v>
      </c>
      <c r="G42" s="31">
        <v>32.76</v>
      </c>
      <c r="H42" s="31">
        <v>32.64</v>
      </c>
    </row>
    <row r="43" spans="2:8" ht="15" customHeight="1" x14ac:dyDescent="0.25">
      <c r="B43" s="33">
        <v>40</v>
      </c>
      <c r="C43" s="33">
        <v>10</v>
      </c>
      <c r="D43" s="33" t="s">
        <v>70</v>
      </c>
      <c r="E43" s="33" t="s">
        <v>59</v>
      </c>
      <c r="F43" s="33" t="s">
        <v>110</v>
      </c>
      <c r="G43" s="34">
        <v>31.33</v>
      </c>
      <c r="H43" s="34">
        <v>31.47</v>
      </c>
    </row>
    <row r="44" spans="2:8" ht="15" customHeight="1" x14ac:dyDescent="0.25">
      <c r="B44" s="7">
        <v>41</v>
      </c>
      <c r="C44" s="7">
        <v>10</v>
      </c>
      <c r="D44" s="7" t="s">
        <v>70</v>
      </c>
      <c r="E44" s="7" t="s">
        <v>59</v>
      </c>
      <c r="F44" s="7" t="s">
        <v>110</v>
      </c>
      <c r="G44" s="31">
        <v>33.979999999999997</v>
      </c>
      <c r="H44" s="31">
        <v>33.880000000000003</v>
      </c>
    </row>
    <row r="45" spans="2:8" ht="15" customHeight="1" x14ac:dyDescent="0.25">
      <c r="B45" s="8">
        <v>42</v>
      </c>
      <c r="C45" s="8">
        <v>10</v>
      </c>
      <c r="D45" s="8" t="s">
        <v>70</v>
      </c>
      <c r="E45" s="8" t="s">
        <v>59</v>
      </c>
      <c r="F45" s="8" t="s">
        <v>110</v>
      </c>
      <c r="G45" s="32">
        <v>33.28</v>
      </c>
      <c r="H45" s="32">
        <v>33.89</v>
      </c>
    </row>
    <row r="46" spans="2:8" ht="15" customHeight="1" x14ac:dyDescent="0.25">
      <c r="B46" s="7">
        <v>43</v>
      </c>
      <c r="C46" s="7">
        <v>10</v>
      </c>
      <c r="D46" s="7" t="s">
        <v>70</v>
      </c>
      <c r="E46" s="7" t="s">
        <v>59</v>
      </c>
      <c r="F46" s="7" t="s">
        <v>96</v>
      </c>
      <c r="G46" s="31">
        <v>36.520000000000003</v>
      </c>
      <c r="H46" s="31">
        <v>36.24</v>
      </c>
    </row>
    <row r="47" spans="2:8" ht="15" customHeight="1" x14ac:dyDescent="0.25">
      <c r="B47" s="8">
        <v>44</v>
      </c>
      <c r="C47" s="8">
        <v>10</v>
      </c>
      <c r="D47" s="8" t="s">
        <v>70</v>
      </c>
      <c r="E47" s="8" t="s">
        <v>59</v>
      </c>
      <c r="F47" s="8" t="s">
        <v>96</v>
      </c>
      <c r="G47" s="32">
        <v>41.48</v>
      </c>
      <c r="H47" s="32">
        <v>42.92</v>
      </c>
    </row>
    <row r="48" spans="2:8" ht="15" customHeight="1" x14ac:dyDescent="0.25">
      <c r="B48" s="33">
        <v>45</v>
      </c>
      <c r="C48" s="33">
        <v>10</v>
      </c>
      <c r="D48" s="33" t="s">
        <v>70</v>
      </c>
      <c r="E48" s="33" t="s">
        <v>59</v>
      </c>
      <c r="F48" s="33" t="s">
        <v>96</v>
      </c>
      <c r="G48" s="34">
        <v>31.42</v>
      </c>
      <c r="H48" s="34">
        <v>31.76</v>
      </c>
    </row>
    <row r="49" spans="2:8" ht="15" customHeight="1" x14ac:dyDescent="0.25">
      <c r="B49" s="8">
        <v>46</v>
      </c>
      <c r="C49" s="8">
        <v>10</v>
      </c>
      <c r="D49" s="8" t="s">
        <v>70</v>
      </c>
      <c r="E49" s="8" t="s">
        <v>59</v>
      </c>
      <c r="F49" s="8" t="s">
        <v>96</v>
      </c>
      <c r="G49" s="32">
        <v>35.96</v>
      </c>
      <c r="H49" s="32">
        <v>35.840000000000003</v>
      </c>
    </row>
    <row r="50" spans="2:8" ht="15" customHeight="1" x14ac:dyDescent="0.25">
      <c r="B50" s="7">
        <v>47</v>
      </c>
      <c r="C50" s="7">
        <v>10</v>
      </c>
      <c r="D50" s="7" t="s">
        <v>70</v>
      </c>
      <c r="E50" s="7" t="s">
        <v>59</v>
      </c>
      <c r="F50" s="7" t="s">
        <v>96</v>
      </c>
      <c r="G50" s="31">
        <v>34.68</v>
      </c>
      <c r="H50" s="31">
        <v>35.92</v>
      </c>
    </row>
    <row r="51" spans="2:8" ht="15" customHeight="1" x14ac:dyDescent="0.25">
      <c r="B51" s="8">
        <v>48</v>
      </c>
      <c r="C51" s="8">
        <v>10</v>
      </c>
      <c r="D51" s="8" t="s">
        <v>70</v>
      </c>
      <c r="E51" s="8" t="s">
        <v>59</v>
      </c>
      <c r="F51" s="8" t="s">
        <v>96</v>
      </c>
      <c r="G51" s="32">
        <v>31.5</v>
      </c>
      <c r="H51" s="32">
        <v>31.86</v>
      </c>
    </row>
    <row r="52" spans="2:8" ht="15" customHeight="1" x14ac:dyDescent="0.25">
      <c r="B52" s="7">
        <v>49</v>
      </c>
      <c r="C52" s="7">
        <v>10</v>
      </c>
      <c r="D52" s="7" t="s">
        <v>70</v>
      </c>
      <c r="E52" s="7" t="s">
        <v>59</v>
      </c>
      <c r="F52" s="7" t="s">
        <v>97</v>
      </c>
      <c r="G52" s="31">
        <v>36.119999999999997</v>
      </c>
      <c r="H52" s="31">
        <v>36.119999999999997</v>
      </c>
    </row>
    <row r="53" spans="2:8" ht="15" customHeight="1" x14ac:dyDescent="0.25">
      <c r="B53" s="8">
        <v>50</v>
      </c>
      <c r="C53" s="8">
        <v>10</v>
      </c>
      <c r="D53" s="8" t="s">
        <v>70</v>
      </c>
      <c r="E53" s="8" t="s">
        <v>59</v>
      </c>
      <c r="F53" s="8" t="s">
        <v>97</v>
      </c>
      <c r="G53" s="32">
        <v>38.15</v>
      </c>
      <c r="H53" s="32">
        <v>38.82</v>
      </c>
    </row>
    <row r="54" spans="2:8" ht="15" customHeight="1" x14ac:dyDescent="0.25">
      <c r="B54" s="7">
        <v>51</v>
      </c>
      <c r="C54" s="7">
        <v>10</v>
      </c>
      <c r="D54" s="7" t="s">
        <v>70</v>
      </c>
      <c r="E54" s="7" t="s">
        <v>59</v>
      </c>
      <c r="F54" s="7" t="s">
        <v>97</v>
      </c>
      <c r="G54" s="31">
        <v>36.24</v>
      </c>
      <c r="H54" s="31">
        <v>35.47</v>
      </c>
    </row>
    <row r="55" spans="2:8" ht="15" customHeight="1" x14ac:dyDescent="0.25">
      <c r="B55" s="8">
        <v>52</v>
      </c>
      <c r="C55" s="8">
        <v>10</v>
      </c>
      <c r="D55" s="8" t="s">
        <v>70</v>
      </c>
      <c r="E55" s="8" t="s">
        <v>59</v>
      </c>
      <c r="F55" s="8" t="s">
        <v>97</v>
      </c>
      <c r="G55" s="32">
        <v>33.49</v>
      </c>
      <c r="H55" s="32">
        <v>34</v>
      </c>
    </row>
    <row r="56" spans="2:8" ht="15" customHeight="1" x14ac:dyDescent="0.25">
      <c r="B56" s="7">
        <v>53</v>
      </c>
      <c r="C56" s="7">
        <v>10</v>
      </c>
      <c r="D56" s="7" t="s">
        <v>70</v>
      </c>
      <c r="E56" s="7" t="s">
        <v>59</v>
      </c>
      <c r="F56" s="7" t="s">
        <v>97</v>
      </c>
      <c r="G56" s="31">
        <v>34.86</v>
      </c>
      <c r="H56" s="31">
        <v>34.39</v>
      </c>
    </row>
    <row r="57" spans="2:8" ht="15" customHeight="1" x14ac:dyDescent="0.25">
      <c r="B57" s="8">
        <v>54</v>
      </c>
      <c r="C57" s="8">
        <v>10</v>
      </c>
      <c r="D57" s="8" t="s">
        <v>70</v>
      </c>
      <c r="E57" s="8" t="s">
        <v>59</v>
      </c>
      <c r="F57" s="8" t="s">
        <v>97</v>
      </c>
      <c r="G57" s="32">
        <v>33.47</v>
      </c>
      <c r="H57" s="32">
        <v>33.29</v>
      </c>
    </row>
    <row r="58" spans="2:8" ht="15" customHeight="1" x14ac:dyDescent="0.25">
      <c r="B58" s="7">
        <v>55</v>
      </c>
      <c r="C58" s="7">
        <v>10</v>
      </c>
      <c r="D58" s="7" t="s">
        <v>70</v>
      </c>
      <c r="E58" s="7" t="s">
        <v>111</v>
      </c>
      <c r="F58" s="7" t="s">
        <v>110</v>
      </c>
      <c r="G58" s="31">
        <v>50.35</v>
      </c>
      <c r="H58" s="31">
        <v>50.45</v>
      </c>
    </row>
    <row r="59" spans="2:8" ht="15" customHeight="1" x14ac:dyDescent="0.25">
      <c r="B59" s="8">
        <v>56</v>
      </c>
      <c r="C59" s="8">
        <v>10</v>
      </c>
      <c r="D59" s="8" t="s">
        <v>70</v>
      </c>
      <c r="E59" s="8" t="s">
        <v>111</v>
      </c>
      <c r="F59" s="8" t="s">
        <v>110</v>
      </c>
      <c r="G59" s="32">
        <v>47.26</v>
      </c>
      <c r="H59" s="32">
        <v>46.76</v>
      </c>
    </row>
    <row r="60" spans="2:8" ht="15" customHeight="1" x14ac:dyDescent="0.25">
      <c r="B60" s="7">
        <v>57</v>
      </c>
      <c r="C60" s="7">
        <v>10</v>
      </c>
      <c r="D60" s="7" t="s">
        <v>70</v>
      </c>
      <c r="E60" s="7" t="s">
        <v>111</v>
      </c>
      <c r="F60" s="7" t="s">
        <v>110</v>
      </c>
      <c r="G60" s="31">
        <v>50.41</v>
      </c>
      <c r="H60" s="31">
        <v>50.45</v>
      </c>
    </row>
    <row r="61" spans="2:8" ht="15" customHeight="1" x14ac:dyDescent="0.25">
      <c r="B61" s="8">
        <v>58</v>
      </c>
      <c r="C61" s="8">
        <v>10</v>
      </c>
      <c r="D61" s="8" t="s">
        <v>70</v>
      </c>
      <c r="E61" s="8" t="s">
        <v>111</v>
      </c>
      <c r="F61" s="8" t="s">
        <v>110</v>
      </c>
      <c r="G61" s="32">
        <v>40.590000000000003</v>
      </c>
      <c r="H61" s="32">
        <v>40.68</v>
      </c>
    </row>
    <row r="62" spans="2:8" ht="15" customHeight="1" x14ac:dyDescent="0.25">
      <c r="B62" s="7">
        <v>59</v>
      </c>
      <c r="C62" s="7">
        <v>10</v>
      </c>
      <c r="D62" s="7" t="s">
        <v>70</v>
      </c>
      <c r="E62" s="7" t="s">
        <v>111</v>
      </c>
      <c r="F62" s="7" t="s">
        <v>110</v>
      </c>
      <c r="G62" s="31">
        <v>44.89</v>
      </c>
      <c r="H62" s="31">
        <v>44.31</v>
      </c>
    </row>
    <row r="63" spans="2:8" ht="15" customHeight="1" x14ac:dyDescent="0.25">
      <c r="B63" s="8">
        <v>60</v>
      </c>
      <c r="C63" s="8">
        <v>10</v>
      </c>
      <c r="D63" s="8" t="s">
        <v>70</v>
      </c>
      <c r="E63" s="8" t="s">
        <v>111</v>
      </c>
      <c r="F63" s="8" t="s">
        <v>110</v>
      </c>
      <c r="G63" s="32">
        <v>40.51</v>
      </c>
      <c r="H63" s="32">
        <v>40.08</v>
      </c>
    </row>
    <row r="64" spans="2:8" ht="15" customHeight="1" x14ac:dyDescent="0.25">
      <c r="B64" s="7">
        <v>61</v>
      </c>
      <c r="C64" s="7">
        <v>10</v>
      </c>
      <c r="D64" s="7" t="s">
        <v>70</v>
      </c>
      <c r="E64" s="7" t="s">
        <v>111</v>
      </c>
      <c r="F64" s="7" t="s">
        <v>96</v>
      </c>
      <c r="G64" s="31">
        <v>46.25</v>
      </c>
      <c r="H64" s="31">
        <v>46.26</v>
      </c>
    </row>
    <row r="65" spans="2:8" ht="15" customHeight="1" x14ac:dyDescent="0.25">
      <c r="B65" s="8">
        <v>62</v>
      </c>
      <c r="C65" s="8">
        <v>10</v>
      </c>
      <c r="D65" s="8" t="s">
        <v>70</v>
      </c>
      <c r="E65" s="8" t="s">
        <v>111</v>
      </c>
      <c r="F65" s="8" t="s">
        <v>96</v>
      </c>
      <c r="G65" s="32">
        <v>41.59</v>
      </c>
      <c r="H65" s="32">
        <v>41.56</v>
      </c>
    </row>
    <row r="66" spans="2:8" ht="15" customHeight="1" x14ac:dyDescent="0.25">
      <c r="B66" s="7">
        <v>63</v>
      </c>
      <c r="C66" s="7">
        <v>10</v>
      </c>
      <c r="D66" s="7" t="s">
        <v>70</v>
      </c>
      <c r="E66" s="7" t="s">
        <v>111</v>
      </c>
      <c r="F66" s="7" t="s">
        <v>96</v>
      </c>
      <c r="G66" s="31">
        <v>38.14</v>
      </c>
      <c r="H66" s="31">
        <v>37.020000000000003</v>
      </c>
    </row>
    <row r="67" spans="2:8" ht="15" customHeight="1" x14ac:dyDescent="0.25">
      <c r="B67" s="8">
        <v>64</v>
      </c>
      <c r="C67" s="8">
        <v>10</v>
      </c>
      <c r="D67" s="8" t="s">
        <v>70</v>
      </c>
      <c r="E67" s="8" t="s">
        <v>111</v>
      </c>
      <c r="F67" s="8" t="s">
        <v>96</v>
      </c>
      <c r="G67" s="32">
        <v>45.19</v>
      </c>
      <c r="H67" s="32">
        <v>45.68</v>
      </c>
    </row>
    <row r="68" spans="2:8" ht="15" customHeight="1" x14ac:dyDescent="0.25">
      <c r="B68" s="7">
        <v>65</v>
      </c>
      <c r="C68" s="7">
        <v>10</v>
      </c>
      <c r="D68" s="7" t="s">
        <v>70</v>
      </c>
      <c r="E68" s="7" t="s">
        <v>111</v>
      </c>
      <c r="F68" s="7" t="s">
        <v>96</v>
      </c>
      <c r="G68" s="31">
        <v>43.31</v>
      </c>
      <c r="H68" s="31">
        <v>42.38</v>
      </c>
    </row>
    <row r="69" spans="2:8" ht="15" customHeight="1" x14ac:dyDescent="0.25">
      <c r="B69" s="8">
        <v>66</v>
      </c>
      <c r="C69" s="8">
        <v>10</v>
      </c>
      <c r="D69" s="8" t="s">
        <v>70</v>
      </c>
      <c r="E69" s="8" t="s">
        <v>111</v>
      </c>
      <c r="F69" s="8" t="s">
        <v>96</v>
      </c>
      <c r="G69" s="32">
        <v>44.64</v>
      </c>
      <c r="H69" s="32">
        <v>44.4</v>
      </c>
    </row>
    <row r="70" spans="2:8" ht="15" customHeight="1" x14ac:dyDescent="0.25">
      <c r="B70" s="7">
        <v>67</v>
      </c>
      <c r="C70" s="7">
        <v>10</v>
      </c>
      <c r="D70" s="7" t="s">
        <v>70</v>
      </c>
      <c r="E70" s="7" t="s">
        <v>111</v>
      </c>
      <c r="F70" s="7" t="s">
        <v>97</v>
      </c>
      <c r="G70" s="31">
        <v>44.82</v>
      </c>
      <c r="H70" s="31">
        <v>43.86</v>
      </c>
    </row>
    <row r="71" spans="2:8" ht="15" customHeight="1" x14ac:dyDescent="0.25">
      <c r="B71" s="8">
        <v>68</v>
      </c>
      <c r="C71" s="8">
        <v>10</v>
      </c>
      <c r="D71" s="8" t="s">
        <v>70</v>
      </c>
      <c r="E71" s="8" t="s">
        <v>111</v>
      </c>
      <c r="F71" s="8" t="s">
        <v>97</v>
      </c>
      <c r="G71" s="32">
        <v>49.79</v>
      </c>
      <c r="H71" s="32">
        <v>50.26</v>
      </c>
    </row>
    <row r="72" spans="2:8" ht="15" customHeight="1" x14ac:dyDescent="0.25">
      <c r="B72" s="7">
        <v>69</v>
      </c>
      <c r="C72" s="7">
        <v>10</v>
      </c>
      <c r="D72" s="7" t="s">
        <v>70</v>
      </c>
      <c r="E72" s="7" t="s">
        <v>111</v>
      </c>
      <c r="F72" s="7" t="s">
        <v>97</v>
      </c>
      <c r="G72" s="31">
        <v>40.11</v>
      </c>
      <c r="H72" s="31">
        <v>40.39</v>
      </c>
    </row>
    <row r="73" spans="2:8" ht="15" customHeight="1" x14ac:dyDescent="0.25">
      <c r="B73" s="8">
        <v>70</v>
      </c>
      <c r="C73" s="8">
        <v>10</v>
      </c>
      <c r="D73" s="8" t="s">
        <v>70</v>
      </c>
      <c r="E73" s="8" t="s">
        <v>111</v>
      </c>
      <c r="F73" s="8" t="s">
        <v>97</v>
      </c>
      <c r="G73" s="32">
        <v>45.45</v>
      </c>
      <c r="H73" s="32">
        <v>45.08</v>
      </c>
    </row>
    <row r="74" spans="2:8" ht="15" customHeight="1" x14ac:dyDescent="0.25">
      <c r="B74" s="7">
        <v>71</v>
      </c>
      <c r="C74" s="7">
        <v>10</v>
      </c>
      <c r="D74" s="7" t="s">
        <v>70</v>
      </c>
      <c r="E74" s="7" t="s">
        <v>111</v>
      </c>
      <c r="F74" s="7" t="s">
        <v>97</v>
      </c>
      <c r="G74" s="31">
        <v>43.02</v>
      </c>
      <c r="H74" s="31">
        <v>42.87</v>
      </c>
    </row>
    <row r="75" spans="2:8" ht="15" customHeight="1" x14ac:dyDescent="0.25">
      <c r="B75" s="8">
        <v>72</v>
      </c>
      <c r="C75" s="8">
        <v>10</v>
      </c>
      <c r="D75" s="8" t="s">
        <v>70</v>
      </c>
      <c r="E75" s="8" t="s">
        <v>111</v>
      </c>
      <c r="F75" s="8" t="s">
        <v>97</v>
      </c>
      <c r="G75" s="32">
        <v>45.04</v>
      </c>
      <c r="H75" s="32">
        <v>44.84</v>
      </c>
    </row>
    <row r="76" spans="2:8" ht="15" customHeight="1" x14ac:dyDescent="0.25">
      <c r="B76" s="7">
        <v>73</v>
      </c>
      <c r="C76" s="7">
        <v>10</v>
      </c>
      <c r="D76" s="7" t="s">
        <v>58</v>
      </c>
      <c r="E76" s="7" t="s">
        <v>109</v>
      </c>
      <c r="F76" s="7" t="s">
        <v>110</v>
      </c>
      <c r="G76" s="31">
        <v>99.82</v>
      </c>
      <c r="H76" s="31">
        <v>99.63</v>
      </c>
    </row>
    <row r="77" spans="2:8" ht="15" customHeight="1" x14ac:dyDescent="0.25">
      <c r="B77" s="8">
        <v>74</v>
      </c>
      <c r="C77" s="8">
        <v>10</v>
      </c>
      <c r="D77" s="8" t="s">
        <v>58</v>
      </c>
      <c r="E77" s="8" t="s">
        <v>109</v>
      </c>
      <c r="F77" s="8" t="s">
        <v>110</v>
      </c>
      <c r="G77" s="32">
        <v>99.8</v>
      </c>
      <c r="H77" s="32">
        <v>99.45</v>
      </c>
    </row>
    <row r="78" spans="2:8" ht="15" customHeight="1" x14ac:dyDescent="0.25">
      <c r="B78" s="7">
        <v>75</v>
      </c>
      <c r="C78" s="7">
        <v>10</v>
      </c>
      <c r="D78" s="7" t="s">
        <v>58</v>
      </c>
      <c r="E78" s="7" t="s">
        <v>109</v>
      </c>
      <c r="F78" s="7" t="s">
        <v>110</v>
      </c>
      <c r="G78" s="31">
        <v>99.83</v>
      </c>
      <c r="H78" s="31">
        <v>99.44</v>
      </c>
    </row>
    <row r="79" spans="2:8" ht="15" customHeight="1" x14ac:dyDescent="0.25">
      <c r="B79" s="8">
        <v>76</v>
      </c>
      <c r="C79" s="8">
        <v>10</v>
      </c>
      <c r="D79" s="8" t="s">
        <v>58</v>
      </c>
      <c r="E79" s="8" t="s">
        <v>109</v>
      </c>
      <c r="F79" s="8" t="s">
        <v>110</v>
      </c>
      <c r="G79" s="32">
        <v>99.83</v>
      </c>
      <c r="H79" s="32">
        <v>99.61</v>
      </c>
    </row>
    <row r="80" spans="2:8" ht="15" customHeight="1" x14ac:dyDescent="0.25">
      <c r="B80" s="7">
        <v>77</v>
      </c>
      <c r="C80" s="7">
        <v>10</v>
      </c>
      <c r="D80" s="7" t="s">
        <v>58</v>
      </c>
      <c r="E80" s="7" t="s">
        <v>109</v>
      </c>
      <c r="F80" s="7" t="s">
        <v>110</v>
      </c>
      <c r="G80" s="31">
        <v>99.88</v>
      </c>
      <c r="H80" s="31">
        <v>99.56</v>
      </c>
    </row>
    <row r="81" spans="2:8" ht="15" customHeight="1" x14ac:dyDescent="0.25">
      <c r="B81" s="8">
        <v>78</v>
      </c>
      <c r="C81" s="8">
        <v>10</v>
      </c>
      <c r="D81" s="8" t="s">
        <v>58</v>
      </c>
      <c r="E81" s="8" t="s">
        <v>109</v>
      </c>
      <c r="F81" s="8" t="s">
        <v>110</v>
      </c>
      <c r="G81" s="32">
        <v>99.85</v>
      </c>
      <c r="H81" s="32">
        <v>99.43</v>
      </c>
    </row>
    <row r="82" spans="2:8" ht="15" customHeight="1" x14ac:dyDescent="0.25">
      <c r="B82" s="7">
        <v>79</v>
      </c>
      <c r="C82" s="7">
        <v>10</v>
      </c>
      <c r="D82" s="7" t="s">
        <v>58</v>
      </c>
      <c r="E82" s="7" t="s">
        <v>109</v>
      </c>
      <c r="F82" s="7" t="s">
        <v>96</v>
      </c>
      <c r="G82" s="31">
        <v>99.9</v>
      </c>
      <c r="H82" s="31">
        <v>99.48</v>
      </c>
    </row>
    <row r="83" spans="2:8" ht="15" customHeight="1" x14ac:dyDescent="0.25">
      <c r="B83" s="8">
        <v>80</v>
      </c>
      <c r="C83" s="8">
        <v>10</v>
      </c>
      <c r="D83" s="8" t="s">
        <v>58</v>
      </c>
      <c r="E83" s="8" t="s">
        <v>109</v>
      </c>
      <c r="F83" s="8" t="s">
        <v>96</v>
      </c>
      <c r="G83" s="32">
        <v>99.94</v>
      </c>
      <c r="H83" s="32">
        <v>99.64</v>
      </c>
    </row>
    <row r="84" spans="2:8" ht="15" customHeight="1" x14ac:dyDescent="0.25">
      <c r="B84" s="7">
        <v>81</v>
      </c>
      <c r="C84" s="7">
        <v>10</v>
      </c>
      <c r="D84" s="7" t="s">
        <v>58</v>
      </c>
      <c r="E84" s="7" t="s">
        <v>109</v>
      </c>
      <c r="F84" s="7" t="s">
        <v>96</v>
      </c>
      <c r="G84" s="31">
        <v>99.89</v>
      </c>
      <c r="H84" s="31">
        <v>99.42</v>
      </c>
    </row>
    <row r="85" spans="2:8" ht="15" customHeight="1" x14ac:dyDescent="0.25">
      <c r="B85" s="8">
        <v>82</v>
      </c>
      <c r="C85" s="8">
        <v>10</v>
      </c>
      <c r="D85" s="8" t="s">
        <v>58</v>
      </c>
      <c r="E85" s="8" t="s">
        <v>109</v>
      </c>
      <c r="F85" s="8" t="s">
        <v>96</v>
      </c>
      <c r="G85" s="32">
        <v>99.89</v>
      </c>
      <c r="H85" s="32">
        <v>99.46</v>
      </c>
    </row>
    <row r="86" spans="2:8" ht="15" customHeight="1" x14ac:dyDescent="0.25">
      <c r="B86" s="7">
        <v>83</v>
      </c>
      <c r="C86" s="7">
        <v>10</v>
      </c>
      <c r="D86" s="7" t="s">
        <v>58</v>
      </c>
      <c r="E86" s="7" t="s">
        <v>109</v>
      </c>
      <c r="F86" s="7" t="s">
        <v>96</v>
      </c>
      <c r="G86" s="31">
        <v>99.88</v>
      </c>
      <c r="H86" s="31">
        <v>99.44</v>
      </c>
    </row>
    <row r="87" spans="2:8" ht="15" customHeight="1" x14ac:dyDescent="0.25">
      <c r="B87" s="8">
        <v>84</v>
      </c>
      <c r="C87" s="8">
        <v>10</v>
      </c>
      <c r="D87" s="8" t="s">
        <v>58</v>
      </c>
      <c r="E87" s="8" t="s">
        <v>109</v>
      </c>
      <c r="F87" s="8" t="s">
        <v>96</v>
      </c>
      <c r="G87" s="32">
        <v>99.89</v>
      </c>
      <c r="H87" s="32">
        <v>99.48</v>
      </c>
    </row>
    <row r="88" spans="2:8" ht="15" customHeight="1" x14ac:dyDescent="0.25">
      <c r="B88" s="7">
        <v>85</v>
      </c>
      <c r="C88" s="7">
        <v>10</v>
      </c>
      <c r="D88" s="7" t="s">
        <v>58</v>
      </c>
      <c r="E88" s="7" t="s">
        <v>109</v>
      </c>
      <c r="F88" s="7" t="s">
        <v>97</v>
      </c>
      <c r="G88" s="31">
        <v>99.81</v>
      </c>
      <c r="H88" s="31">
        <v>99.54</v>
      </c>
    </row>
    <row r="89" spans="2:8" ht="15" customHeight="1" x14ac:dyDescent="0.25">
      <c r="B89" s="8">
        <v>86</v>
      </c>
      <c r="C89" s="8">
        <v>10</v>
      </c>
      <c r="D89" s="8" t="s">
        <v>58</v>
      </c>
      <c r="E89" s="8" t="s">
        <v>109</v>
      </c>
      <c r="F89" s="8" t="s">
        <v>97</v>
      </c>
      <c r="G89" s="32">
        <v>99.8</v>
      </c>
      <c r="H89" s="32">
        <v>99.41</v>
      </c>
    </row>
    <row r="90" spans="2:8" ht="15" customHeight="1" x14ac:dyDescent="0.25">
      <c r="B90" s="7">
        <v>87</v>
      </c>
      <c r="C90" s="7">
        <v>10</v>
      </c>
      <c r="D90" s="7" t="s">
        <v>58</v>
      </c>
      <c r="E90" s="7" t="s">
        <v>109</v>
      </c>
      <c r="F90" s="7" t="s">
        <v>97</v>
      </c>
      <c r="G90" s="31">
        <v>99.77</v>
      </c>
      <c r="H90" s="31">
        <v>99.44</v>
      </c>
    </row>
    <row r="91" spans="2:8" ht="15" customHeight="1" x14ac:dyDescent="0.25">
      <c r="B91" s="8">
        <v>88</v>
      </c>
      <c r="C91" s="8">
        <v>10</v>
      </c>
      <c r="D91" s="8" t="s">
        <v>58</v>
      </c>
      <c r="E91" s="8" t="s">
        <v>109</v>
      </c>
      <c r="F91" s="8" t="s">
        <v>97</v>
      </c>
      <c r="G91" s="32">
        <v>99.77</v>
      </c>
      <c r="H91" s="32">
        <v>99.39</v>
      </c>
    </row>
    <row r="92" spans="2:8" ht="15" customHeight="1" x14ac:dyDescent="0.25">
      <c r="B92" s="7">
        <v>89</v>
      </c>
      <c r="C92" s="7">
        <v>10</v>
      </c>
      <c r="D92" s="7" t="s">
        <v>58</v>
      </c>
      <c r="E92" s="7" t="s">
        <v>109</v>
      </c>
      <c r="F92" s="7" t="s">
        <v>97</v>
      </c>
      <c r="G92" s="31">
        <v>99.77</v>
      </c>
      <c r="H92" s="31">
        <v>99.43</v>
      </c>
    </row>
    <row r="93" spans="2:8" ht="15" customHeight="1" x14ac:dyDescent="0.25">
      <c r="B93" s="8">
        <v>90</v>
      </c>
      <c r="C93" s="8">
        <v>10</v>
      </c>
      <c r="D93" s="8" t="s">
        <v>58</v>
      </c>
      <c r="E93" s="8" t="s">
        <v>109</v>
      </c>
      <c r="F93" s="8" t="s">
        <v>97</v>
      </c>
      <c r="G93" s="32">
        <v>99.81</v>
      </c>
      <c r="H93" s="32">
        <v>99.45</v>
      </c>
    </row>
    <row r="94" spans="2:8" ht="15" customHeight="1" x14ac:dyDescent="0.25">
      <c r="B94" s="7">
        <v>91</v>
      </c>
      <c r="C94" s="7">
        <v>10</v>
      </c>
      <c r="D94" s="7" t="s">
        <v>58</v>
      </c>
      <c r="E94" s="7" t="s">
        <v>71</v>
      </c>
      <c r="F94" s="7" t="s">
        <v>110</v>
      </c>
      <c r="G94" s="31">
        <v>99.68</v>
      </c>
      <c r="H94" s="31">
        <v>99.4</v>
      </c>
    </row>
    <row r="95" spans="2:8" ht="15" customHeight="1" x14ac:dyDescent="0.25">
      <c r="B95" s="8">
        <v>92</v>
      </c>
      <c r="C95" s="8">
        <v>10</v>
      </c>
      <c r="D95" s="8" t="s">
        <v>58</v>
      </c>
      <c r="E95" s="8" t="s">
        <v>71</v>
      </c>
      <c r="F95" s="8" t="s">
        <v>110</v>
      </c>
      <c r="G95" s="32">
        <v>99.69</v>
      </c>
      <c r="H95" s="32">
        <v>99.43</v>
      </c>
    </row>
    <row r="96" spans="2:8" ht="15" customHeight="1" x14ac:dyDescent="0.25">
      <c r="B96" s="7">
        <v>93</v>
      </c>
      <c r="C96" s="7">
        <v>10</v>
      </c>
      <c r="D96" s="7" t="s">
        <v>58</v>
      </c>
      <c r="E96" s="7" t="s">
        <v>71</v>
      </c>
      <c r="F96" s="7" t="s">
        <v>110</v>
      </c>
      <c r="G96" s="31">
        <v>99.62</v>
      </c>
      <c r="H96" s="31">
        <v>99.17</v>
      </c>
    </row>
    <row r="97" spans="2:8" ht="15" customHeight="1" x14ac:dyDescent="0.25">
      <c r="B97" s="8">
        <v>94</v>
      </c>
      <c r="C97" s="8">
        <v>10</v>
      </c>
      <c r="D97" s="8" t="s">
        <v>58</v>
      </c>
      <c r="E97" s="8" t="s">
        <v>71</v>
      </c>
      <c r="F97" s="8" t="s">
        <v>110</v>
      </c>
      <c r="G97" s="32">
        <v>99.65</v>
      </c>
      <c r="H97" s="32">
        <v>99.36</v>
      </c>
    </row>
    <row r="98" spans="2:8" ht="15" customHeight="1" x14ac:dyDescent="0.25">
      <c r="B98" s="7">
        <v>95</v>
      </c>
      <c r="C98" s="7">
        <v>10</v>
      </c>
      <c r="D98" s="7" t="s">
        <v>58</v>
      </c>
      <c r="E98" s="7" t="s">
        <v>71</v>
      </c>
      <c r="F98" s="7" t="s">
        <v>110</v>
      </c>
      <c r="G98" s="31">
        <v>99.7</v>
      </c>
      <c r="H98" s="31">
        <v>99.4</v>
      </c>
    </row>
    <row r="99" spans="2:8" ht="15" customHeight="1" x14ac:dyDescent="0.25">
      <c r="B99" s="8">
        <v>96</v>
      </c>
      <c r="C99" s="8">
        <v>10</v>
      </c>
      <c r="D99" s="8" t="s">
        <v>58</v>
      </c>
      <c r="E99" s="8" t="s">
        <v>71</v>
      </c>
      <c r="F99" s="8" t="s">
        <v>110</v>
      </c>
      <c r="G99" s="32">
        <v>99.72</v>
      </c>
      <c r="H99" s="32">
        <v>99.41</v>
      </c>
    </row>
    <row r="100" spans="2:8" ht="15" customHeight="1" x14ac:dyDescent="0.25">
      <c r="B100" s="7">
        <v>97</v>
      </c>
      <c r="C100" s="7">
        <v>10</v>
      </c>
      <c r="D100" s="7" t="s">
        <v>58</v>
      </c>
      <c r="E100" s="7" t="s">
        <v>71</v>
      </c>
      <c r="F100" s="7" t="s">
        <v>96</v>
      </c>
      <c r="G100" s="31">
        <v>99.71</v>
      </c>
      <c r="H100" s="31">
        <v>99.34</v>
      </c>
    </row>
    <row r="101" spans="2:8" ht="15" customHeight="1" x14ac:dyDescent="0.25">
      <c r="B101" s="8">
        <v>98</v>
      </c>
      <c r="C101" s="8">
        <v>10</v>
      </c>
      <c r="D101" s="8" t="s">
        <v>58</v>
      </c>
      <c r="E101" s="8" t="s">
        <v>71</v>
      </c>
      <c r="F101" s="8" t="s">
        <v>96</v>
      </c>
      <c r="G101" s="32">
        <v>99.69</v>
      </c>
      <c r="H101" s="32">
        <v>99.28</v>
      </c>
    </row>
    <row r="102" spans="2:8" ht="15" customHeight="1" x14ac:dyDescent="0.25">
      <c r="B102" s="7">
        <v>99</v>
      </c>
      <c r="C102" s="7">
        <v>10</v>
      </c>
      <c r="D102" s="7" t="s">
        <v>58</v>
      </c>
      <c r="E102" s="7" t="s">
        <v>71</v>
      </c>
      <c r="F102" s="7" t="s">
        <v>96</v>
      </c>
      <c r="G102" s="31">
        <v>99.68</v>
      </c>
      <c r="H102" s="31">
        <v>99.28</v>
      </c>
    </row>
    <row r="103" spans="2:8" ht="15" customHeight="1" x14ac:dyDescent="0.25">
      <c r="B103" s="8">
        <v>100</v>
      </c>
      <c r="C103" s="8">
        <v>10</v>
      </c>
      <c r="D103" s="8" t="s">
        <v>58</v>
      </c>
      <c r="E103" s="8" t="s">
        <v>71</v>
      </c>
      <c r="F103" s="8" t="s">
        <v>96</v>
      </c>
      <c r="G103" s="32">
        <v>99.76</v>
      </c>
      <c r="H103" s="32">
        <v>99.44</v>
      </c>
    </row>
    <row r="104" spans="2:8" ht="15" customHeight="1" x14ac:dyDescent="0.25">
      <c r="B104" s="7">
        <v>101</v>
      </c>
      <c r="C104" s="7">
        <v>10</v>
      </c>
      <c r="D104" s="7" t="s">
        <v>58</v>
      </c>
      <c r="E104" s="7" t="s">
        <v>71</v>
      </c>
      <c r="F104" s="7" t="s">
        <v>96</v>
      </c>
      <c r="G104" s="31">
        <v>99.68</v>
      </c>
      <c r="H104" s="31">
        <v>99.54</v>
      </c>
    </row>
    <row r="105" spans="2:8" ht="15" customHeight="1" x14ac:dyDescent="0.25">
      <c r="B105" s="8">
        <v>102</v>
      </c>
      <c r="C105" s="8">
        <v>10</v>
      </c>
      <c r="D105" s="8" t="s">
        <v>58</v>
      </c>
      <c r="E105" s="8" t="s">
        <v>71</v>
      </c>
      <c r="F105" s="8" t="s">
        <v>96</v>
      </c>
      <c r="G105" s="32">
        <v>99.7</v>
      </c>
      <c r="H105" s="32">
        <v>99.2</v>
      </c>
    </row>
    <row r="106" spans="2:8" ht="15" customHeight="1" x14ac:dyDescent="0.25">
      <c r="B106" s="7">
        <v>103</v>
      </c>
      <c r="C106" s="7">
        <v>10</v>
      </c>
      <c r="D106" s="7" t="s">
        <v>58</v>
      </c>
      <c r="E106" s="7" t="s">
        <v>71</v>
      </c>
      <c r="F106" s="7" t="s">
        <v>97</v>
      </c>
      <c r="G106" s="31">
        <v>99.57</v>
      </c>
      <c r="H106" s="31">
        <v>99.23</v>
      </c>
    </row>
    <row r="107" spans="2:8" ht="15" customHeight="1" x14ac:dyDescent="0.25">
      <c r="B107" s="8">
        <v>104</v>
      </c>
      <c r="C107" s="8">
        <v>10</v>
      </c>
      <c r="D107" s="8" t="s">
        <v>58</v>
      </c>
      <c r="E107" s="8" t="s">
        <v>71</v>
      </c>
      <c r="F107" s="8" t="s">
        <v>97</v>
      </c>
      <c r="G107" s="32">
        <v>99.57</v>
      </c>
      <c r="H107" s="32">
        <v>99.33</v>
      </c>
    </row>
    <row r="108" spans="2:8" ht="15" customHeight="1" x14ac:dyDescent="0.25">
      <c r="B108" s="7">
        <v>105</v>
      </c>
      <c r="C108" s="7">
        <v>10</v>
      </c>
      <c r="D108" s="7" t="s">
        <v>58</v>
      </c>
      <c r="E108" s="7" t="s">
        <v>71</v>
      </c>
      <c r="F108" s="7" t="s">
        <v>97</v>
      </c>
      <c r="G108" s="31">
        <v>99.62</v>
      </c>
      <c r="H108" s="31">
        <v>99.45</v>
      </c>
    </row>
    <row r="109" spans="2:8" ht="15" customHeight="1" x14ac:dyDescent="0.25">
      <c r="B109" s="8">
        <v>106</v>
      </c>
      <c r="C109" s="8">
        <v>10</v>
      </c>
      <c r="D109" s="8" t="s">
        <v>58</v>
      </c>
      <c r="E109" s="8" t="s">
        <v>71</v>
      </c>
      <c r="F109" s="8" t="s">
        <v>97</v>
      </c>
      <c r="G109" s="32">
        <v>99.67</v>
      </c>
      <c r="H109" s="32">
        <v>99.33</v>
      </c>
    </row>
    <row r="110" spans="2:8" ht="15" customHeight="1" x14ac:dyDescent="0.25">
      <c r="B110" s="7">
        <v>107</v>
      </c>
      <c r="C110" s="7">
        <v>10</v>
      </c>
      <c r="D110" s="7" t="s">
        <v>58</v>
      </c>
      <c r="E110" s="7" t="s">
        <v>71</v>
      </c>
      <c r="F110" s="7" t="s">
        <v>97</v>
      </c>
      <c r="G110" s="31">
        <v>99.71</v>
      </c>
      <c r="H110" s="31">
        <v>99.46</v>
      </c>
    </row>
    <row r="111" spans="2:8" ht="15" customHeight="1" x14ac:dyDescent="0.25">
      <c r="B111" s="8">
        <v>108</v>
      </c>
      <c r="C111" s="8">
        <v>10</v>
      </c>
      <c r="D111" s="8" t="s">
        <v>58</v>
      </c>
      <c r="E111" s="8" t="s">
        <v>71</v>
      </c>
      <c r="F111" s="8" t="s">
        <v>97</v>
      </c>
      <c r="G111" s="32">
        <v>99.67</v>
      </c>
      <c r="H111" s="32">
        <v>99.36</v>
      </c>
    </row>
    <row r="112" spans="2:8" ht="15" customHeight="1" x14ac:dyDescent="0.25">
      <c r="B112" s="7">
        <v>109</v>
      </c>
      <c r="C112" s="7">
        <v>10</v>
      </c>
      <c r="D112" s="7" t="s">
        <v>58</v>
      </c>
      <c r="E112" s="7" t="s">
        <v>59</v>
      </c>
      <c r="F112" s="7" t="s">
        <v>110</v>
      </c>
      <c r="G112" s="31">
        <v>99.8</v>
      </c>
      <c r="H112" s="31">
        <v>99.47</v>
      </c>
    </row>
    <row r="113" spans="2:8" ht="15" customHeight="1" x14ac:dyDescent="0.25">
      <c r="B113" s="8">
        <v>110</v>
      </c>
      <c r="C113" s="8">
        <v>10</v>
      </c>
      <c r="D113" s="8" t="s">
        <v>58</v>
      </c>
      <c r="E113" s="8" t="s">
        <v>59</v>
      </c>
      <c r="F113" s="8" t="s">
        <v>110</v>
      </c>
      <c r="G113" s="32">
        <v>99.85</v>
      </c>
      <c r="H113" s="32">
        <v>99.44</v>
      </c>
    </row>
    <row r="114" spans="2:8" ht="15" customHeight="1" x14ac:dyDescent="0.25">
      <c r="B114" s="7">
        <v>111</v>
      </c>
      <c r="C114" s="7">
        <v>10</v>
      </c>
      <c r="D114" s="7" t="s">
        <v>58</v>
      </c>
      <c r="E114" s="7" t="s">
        <v>59</v>
      </c>
      <c r="F114" s="7" t="s">
        <v>110</v>
      </c>
      <c r="G114" s="31">
        <v>99.84</v>
      </c>
      <c r="H114" s="31">
        <v>99.55</v>
      </c>
    </row>
    <row r="115" spans="2:8" ht="15" customHeight="1" x14ac:dyDescent="0.25">
      <c r="B115" s="8">
        <v>112</v>
      </c>
      <c r="C115" s="8">
        <v>10</v>
      </c>
      <c r="D115" s="8" t="s">
        <v>58</v>
      </c>
      <c r="E115" s="8" t="s">
        <v>59</v>
      </c>
      <c r="F115" s="8" t="s">
        <v>110</v>
      </c>
      <c r="G115" s="32">
        <v>99.84</v>
      </c>
      <c r="H115" s="32">
        <v>99.44</v>
      </c>
    </row>
    <row r="116" spans="2:8" ht="15" customHeight="1" x14ac:dyDescent="0.25">
      <c r="B116" s="7">
        <v>113</v>
      </c>
      <c r="C116" s="7">
        <v>10</v>
      </c>
      <c r="D116" s="7" t="s">
        <v>58</v>
      </c>
      <c r="E116" s="7" t="s">
        <v>59</v>
      </c>
      <c r="F116" s="7" t="s">
        <v>110</v>
      </c>
      <c r="G116" s="31">
        <v>99.79</v>
      </c>
      <c r="H116" s="31">
        <v>99.43</v>
      </c>
    </row>
    <row r="117" spans="2:8" ht="15" customHeight="1" x14ac:dyDescent="0.25">
      <c r="B117" s="8">
        <v>114</v>
      </c>
      <c r="C117" s="8">
        <v>10</v>
      </c>
      <c r="D117" s="8" t="s">
        <v>58</v>
      </c>
      <c r="E117" s="8" t="s">
        <v>59</v>
      </c>
      <c r="F117" s="8" t="s">
        <v>110</v>
      </c>
      <c r="G117" s="32">
        <v>99.8</v>
      </c>
      <c r="H117" s="32">
        <v>99.51</v>
      </c>
    </row>
    <row r="118" spans="2:8" ht="15" customHeight="1" x14ac:dyDescent="0.25">
      <c r="B118" s="35">
        <v>115</v>
      </c>
      <c r="C118" s="35">
        <v>10</v>
      </c>
      <c r="D118" s="35" t="s">
        <v>58</v>
      </c>
      <c r="E118" s="35" t="s">
        <v>59</v>
      </c>
      <c r="F118" s="35" t="s">
        <v>96</v>
      </c>
      <c r="G118" s="36">
        <v>99.92</v>
      </c>
      <c r="H118" s="36">
        <v>99.64</v>
      </c>
    </row>
    <row r="119" spans="2:8" ht="15" customHeight="1" x14ac:dyDescent="0.25">
      <c r="B119" s="35">
        <v>116</v>
      </c>
      <c r="C119" s="35">
        <v>10</v>
      </c>
      <c r="D119" s="35" t="s">
        <v>58</v>
      </c>
      <c r="E119" s="35" t="s">
        <v>59</v>
      </c>
      <c r="F119" s="35" t="s">
        <v>96</v>
      </c>
      <c r="G119" s="36">
        <v>99.94</v>
      </c>
      <c r="H119" s="36">
        <v>99.64</v>
      </c>
    </row>
    <row r="120" spans="2:8" ht="15" customHeight="1" x14ac:dyDescent="0.25">
      <c r="B120" s="7">
        <v>117</v>
      </c>
      <c r="C120" s="7">
        <v>10</v>
      </c>
      <c r="D120" s="7" t="s">
        <v>58</v>
      </c>
      <c r="E120" s="7" t="s">
        <v>59</v>
      </c>
      <c r="F120" s="7" t="s">
        <v>96</v>
      </c>
      <c r="G120" s="31">
        <v>99.85</v>
      </c>
      <c r="H120" s="31">
        <v>99.4</v>
      </c>
    </row>
    <row r="121" spans="2:8" ht="15" customHeight="1" x14ac:dyDescent="0.25">
      <c r="B121" s="8">
        <v>118</v>
      </c>
      <c r="C121" s="8">
        <v>10</v>
      </c>
      <c r="D121" s="8" t="s">
        <v>58</v>
      </c>
      <c r="E121" s="8" t="s">
        <v>59</v>
      </c>
      <c r="F121" s="8" t="s">
        <v>96</v>
      </c>
      <c r="G121" s="32">
        <v>99.89</v>
      </c>
      <c r="H121" s="32">
        <v>99.6</v>
      </c>
    </row>
    <row r="122" spans="2:8" ht="15" customHeight="1" x14ac:dyDescent="0.25">
      <c r="B122" s="7">
        <v>119</v>
      </c>
      <c r="C122" s="7">
        <v>10</v>
      </c>
      <c r="D122" s="7" t="s">
        <v>58</v>
      </c>
      <c r="E122" s="7" t="s">
        <v>59</v>
      </c>
      <c r="F122" s="7" t="s">
        <v>96</v>
      </c>
      <c r="G122" s="31">
        <v>99.89</v>
      </c>
      <c r="H122" s="31">
        <v>99.56</v>
      </c>
    </row>
    <row r="123" spans="2:8" ht="15" customHeight="1" x14ac:dyDescent="0.25">
      <c r="B123" s="35">
        <v>120</v>
      </c>
      <c r="C123" s="35">
        <v>10</v>
      </c>
      <c r="D123" s="35" t="s">
        <v>58</v>
      </c>
      <c r="E123" s="35" t="s">
        <v>59</v>
      </c>
      <c r="F123" s="35" t="s">
        <v>96</v>
      </c>
      <c r="G123" s="36">
        <v>99.92</v>
      </c>
      <c r="H123" s="36">
        <v>99.66</v>
      </c>
    </row>
  </sheetData>
  <mergeCells count="1">
    <mergeCell ref="B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8"/>
  <sheetViews>
    <sheetView showGridLines="0" tabSelected="1" workbookViewId="0">
      <selection activeCell="F3" sqref="F3"/>
    </sheetView>
  </sheetViews>
  <sheetFormatPr defaultRowHeight="15" x14ac:dyDescent="0.25"/>
  <cols>
    <col min="1" max="1" width="2" customWidth="1"/>
    <col min="2" max="2" width="22" customWidth="1"/>
    <col min="3" max="4" width="10" customWidth="1"/>
    <col min="5" max="5" width="12" customWidth="1"/>
    <col min="6" max="8" width="14" customWidth="1"/>
    <col min="9" max="9" width="22.28515625" customWidth="1"/>
    <col min="10" max="10" width="2" customWidth="1"/>
  </cols>
  <sheetData>
    <row r="1" spans="2:9" ht="32.1" customHeight="1" x14ac:dyDescent="0.25">
      <c r="B1" s="41" t="s">
        <v>112</v>
      </c>
      <c r="C1" s="42"/>
      <c r="D1" s="42"/>
      <c r="E1" s="42"/>
      <c r="F1" s="42"/>
      <c r="G1" s="42"/>
      <c r="H1" s="42"/>
      <c r="I1" s="42"/>
    </row>
    <row r="2" spans="2:9" ht="8.1" customHeight="1" x14ac:dyDescent="0.25"/>
    <row r="3" spans="2:9" ht="21.95" customHeight="1" x14ac:dyDescent="0.25">
      <c r="B3" s="6" t="s">
        <v>113</v>
      </c>
      <c r="C3" s="6" t="s">
        <v>114</v>
      </c>
      <c r="D3" s="6" t="s">
        <v>115</v>
      </c>
      <c r="E3" s="6" t="s">
        <v>46</v>
      </c>
      <c r="F3" s="6" t="s">
        <v>116</v>
      </c>
      <c r="G3" s="6" t="s">
        <v>117</v>
      </c>
      <c r="H3" s="6" t="s">
        <v>118</v>
      </c>
      <c r="I3" s="6" t="s">
        <v>119</v>
      </c>
    </row>
    <row r="4" spans="2:9" ht="15.95" customHeight="1" x14ac:dyDescent="0.25">
      <c r="B4" s="18" t="s">
        <v>120</v>
      </c>
      <c r="C4" s="19" t="s">
        <v>121</v>
      </c>
      <c r="D4" s="19" t="s">
        <v>122</v>
      </c>
      <c r="E4" s="19">
        <v>30</v>
      </c>
      <c r="F4" s="20" t="s">
        <v>123</v>
      </c>
      <c r="G4" s="20" t="s">
        <v>123</v>
      </c>
      <c r="H4" s="20" t="s">
        <v>123</v>
      </c>
      <c r="I4" s="20" t="s">
        <v>123</v>
      </c>
    </row>
    <row r="5" spans="2:9" ht="15.95" customHeight="1" x14ac:dyDescent="0.25">
      <c r="B5" s="18" t="s">
        <v>120</v>
      </c>
      <c r="C5" s="19" t="s">
        <v>121</v>
      </c>
      <c r="D5" s="19" t="s">
        <v>124</v>
      </c>
      <c r="E5" s="19">
        <v>30</v>
      </c>
      <c r="F5" s="20" t="s">
        <v>123</v>
      </c>
      <c r="G5" s="20" t="s">
        <v>123</v>
      </c>
      <c r="H5" s="20" t="s">
        <v>123</v>
      </c>
      <c r="I5" s="20" t="s">
        <v>123</v>
      </c>
    </row>
    <row r="6" spans="2:9" ht="15.95" customHeight="1" x14ac:dyDescent="0.25">
      <c r="B6" s="18" t="s">
        <v>125</v>
      </c>
      <c r="C6" s="19" t="s">
        <v>126</v>
      </c>
      <c r="D6" s="19" t="s">
        <v>122</v>
      </c>
      <c r="E6" s="19">
        <v>30</v>
      </c>
      <c r="F6" s="20" t="s">
        <v>123</v>
      </c>
      <c r="G6" s="20" t="s">
        <v>123</v>
      </c>
      <c r="H6" s="20" t="s">
        <v>123</v>
      </c>
      <c r="I6" s="20" t="s">
        <v>123</v>
      </c>
    </row>
    <row r="7" spans="2:9" ht="15.95" customHeight="1" x14ac:dyDescent="0.25">
      <c r="B7" s="18" t="s">
        <v>125</v>
      </c>
      <c r="C7" s="19" t="s">
        <v>126</v>
      </c>
      <c r="D7" s="19" t="s">
        <v>124</v>
      </c>
      <c r="E7" s="19">
        <v>30</v>
      </c>
      <c r="F7" s="20" t="s">
        <v>123</v>
      </c>
      <c r="G7" s="20" t="s">
        <v>123</v>
      </c>
      <c r="H7" s="20" t="s">
        <v>123</v>
      </c>
      <c r="I7" s="20" t="s">
        <v>123</v>
      </c>
    </row>
    <row r="8" spans="2:9" ht="15.95" customHeight="1" x14ac:dyDescent="0.25">
      <c r="B8" s="18" t="s">
        <v>127</v>
      </c>
      <c r="C8" s="19" t="s">
        <v>126</v>
      </c>
      <c r="D8" s="19" t="s">
        <v>122</v>
      </c>
      <c r="E8" s="19">
        <v>30</v>
      </c>
      <c r="F8" s="20" t="s">
        <v>123</v>
      </c>
      <c r="G8" s="20" t="s">
        <v>123</v>
      </c>
      <c r="H8" s="20" t="s">
        <v>123</v>
      </c>
      <c r="I8" s="20" t="s">
        <v>123</v>
      </c>
    </row>
    <row r="9" spans="2:9" ht="15.95" customHeight="1" x14ac:dyDescent="0.25">
      <c r="B9" s="18" t="s">
        <v>127</v>
      </c>
      <c r="C9" s="19" t="s">
        <v>126</v>
      </c>
      <c r="D9" s="19" t="s">
        <v>124</v>
      </c>
      <c r="E9" s="19">
        <v>30</v>
      </c>
      <c r="F9" s="20" t="s">
        <v>123</v>
      </c>
      <c r="G9" s="20" t="s">
        <v>123</v>
      </c>
      <c r="H9" s="20" t="s">
        <v>123</v>
      </c>
      <c r="I9" s="20" t="s">
        <v>123</v>
      </c>
    </row>
    <row r="10" spans="2:9" ht="15.95" customHeight="1" x14ac:dyDescent="0.25">
      <c r="B10" s="18" t="s">
        <v>128</v>
      </c>
      <c r="C10" s="19" t="s">
        <v>126</v>
      </c>
      <c r="D10" s="19" t="s">
        <v>122</v>
      </c>
      <c r="E10" s="19">
        <v>30</v>
      </c>
      <c r="F10" s="20" t="s">
        <v>123</v>
      </c>
      <c r="G10" s="20" t="s">
        <v>123</v>
      </c>
      <c r="H10" s="20" t="s">
        <v>123</v>
      </c>
      <c r="I10" s="20" t="s">
        <v>123</v>
      </c>
    </row>
    <row r="11" spans="2:9" ht="15.95" customHeight="1" x14ac:dyDescent="0.25">
      <c r="B11" s="18" t="s">
        <v>128</v>
      </c>
      <c r="C11" s="19" t="s">
        <v>126</v>
      </c>
      <c r="D11" s="19" t="s">
        <v>124</v>
      </c>
      <c r="E11" s="19">
        <v>30</v>
      </c>
      <c r="F11" s="20" t="s">
        <v>123</v>
      </c>
      <c r="G11" s="20" t="s">
        <v>123</v>
      </c>
      <c r="H11" s="20" t="s">
        <v>123</v>
      </c>
      <c r="I11" s="20" t="s">
        <v>123</v>
      </c>
    </row>
    <row r="12" spans="2:9" ht="15.95" customHeight="1" x14ac:dyDescent="0.25">
      <c r="B12" s="22" t="s">
        <v>129</v>
      </c>
      <c r="C12" s="23" t="s">
        <v>126</v>
      </c>
      <c r="D12" s="23" t="s">
        <v>122</v>
      </c>
      <c r="E12" s="23">
        <v>14</v>
      </c>
      <c r="F12" s="24" t="s">
        <v>130</v>
      </c>
      <c r="G12" s="24" t="s">
        <v>131</v>
      </c>
      <c r="H12" s="24" t="s">
        <v>132</v>
      </c>
      <c r="I12" s="24" t="s">
        <v>133</v>
      </c>
    </row>
    <row r="13" spans="2:9" ht="15.95" customHeight="1" x14ac:dyDescent="0.25">
      <c r="B13" s="22" t="s">
        <v>129</v>
      </c>
      <c r="C13" s="23" t="s">
        <v>126</v>
      </c>
      <c r="D13" s="23" t="s">
        <v>124</v>
      </c>
      <c r="E13" s="23">
        <v>14</v>
      </c>
      <c r="F13" s="24" t="s">
        <v>130</v>
      </c>
      <c r="G13" s="24" t="s">
        <v>134</v>
      </c>
      <c r="H13" s="24" t="s">
        <v>135</v>
      </c>
      <c r="I13" s="24" t="s">
        <v>136</v>
      </c>
    </row>
    <row r="14" spans="2:9" ht="15.95" customHeight="1" x14ac:dyDescent="0.25">
      <c r="B14" s="22" t="s">
        <v>137</v>
      </c>
      <c r="C14" s="23" t="s">
        <v>126</v>
      </c>
      <c r="D14" s="23" t="s">
        <v>122</v>
      </c>
      <c r="E14" s="23">
        <v>16</v>
      </c>
      <c r="F14" s="24" t="s">
        <v>138</v>
      </c>
      <c r="G14" s="24" t="s">
        <v>139</v>
      </c>
      <c r="H14" s="24" t="s">
        <v>140</v>
      </c>
      <c r="I14" s="24" t="s">
        <v>123</v>
      </c>
    </row>
    <row r="15" spans="2:9" ht="15.95" customHeight="1" x14ac:dyDescent="0.25">
      <c r="B15" s="22" t="s">
        <v>137</v>
      </c>
      <c r="C15" s="23" t="s">
        <v>126</v>
      </c>
      <c r="D15" s="23" t="s">
        <v>124</v>
      </c>
      <c r="E15" s="23">
        <v>13</v>
      </c>
      <c r="F15" s="24" t="s">
        <v>141</v>
      </c>
      <c r="G15" s="24" t="s">
        <v>142</v>
      </c>
      <c r="H15" s="24" t="s">
        <v>140</v>
      </c>
      <c r="I15" s="24" t="s">
        <v>123</v>
      </c>
    </row>
    <row r="16" spans="2:9" ht="15.95" customHeight="1" x14ac:dyDescent="0.25">
      <c r="B16" s="22" t="s">
        <v>143</v>
      </c>
      <c r="C16" s="23" t="s">
        <v>126</v>
      </c>
      <c r="D16" s="23" t="s">
        <v>122</v>
      </c>
      <c r="E16" s="23">
        <v>21</v>
      </c>
      <c r="F16" s="24" t="s">
        <v>132</v>
      </c>
      <c r="G16" s="24" t="s">
        <v>144</v>
      </c>
      <c r="H16" s="24" t="s">
        <v>145</v>
      </c>
      <c r="I16" s="24" t="s">
        <v>146</v>
      </c>
    </row>
    <row r="17" spans="2:9" ht="15.95" customHeight="1" x14ac:dyDescent="0.25">
      <c r="B17" s="22" t="s">
        <v>143</v>
      </c>
      <c r="C17" s="23" t="s">
        <v>126</v>
      </c>
      <c r="D17" s="23" t="s">
        <v>124</v>
      </c>
      <c r="E17" s="23">
        <v>21</v>
      </c>
      <c r="F17" s="24" t="s">
        <v>132</v>
      </c>
      <c r="G17" s="24" t="s">
        <v>144</v>
      </c>
      <c r="H17" s="24" t="s">
        <v>147</v>
      </c>
      <c r="I17" s="24" t="s">
        <v>148</v>
      </c>
    </row>
    <row r="19" spans="2:9" ht="9.9499999999999993" customHeight="1" x14ac:dyDescent="0.25"/>
    <row r="20" spans="2:9" ht="26.1" customHeight="1" x14ac:dyDescent="0.25">
      <c r="B20" s="37" t="s">
        <v>149</v>
      </c>
      <c r="C20" s="38"/>
      <c r="D20" s="38"/>
      <c r="E20" s="38"/>
      <c r="F20" s="38"/>
      <c r="G20" s="38"/>
      <c r="H20" s="38"/>
      <c r="I20" s="39"/>
    </row>
    <row r="21" spans="2:9" ht="21.95" customHeight="1" x14ac:dyDescent="0.25">
      <c r="B21" s="6" t="s">
        <v>150</v>
      </c>
      <c r="C21" s="6" t="s">
        <v>121</v>
      </c>
      <c r="D21" s="6" t="s">
        <v>151</v>
      </c>
      <c r="E21" s="6" t="s">
        <v>152</v>
      </c>
      <c r="F21" s="40" t="s">
        <v>153</v>
      </c>
      <c r="G21" s="38"/>
      <c r="H21" s="39"/>
      <c r="I21" s="6" t="s">
        <v>154</v>
      </c>
    </row>
    <row r="22" spans="2:9" ht="44.25" customHeight="1" x14ac:dyDescent="0.25">
      <c r="B22" s="7" t="s">
        <v>155</v>
      </c>
      <c r="C22" s="7" t="s">
        <v>123</v>
      </c>
      <c r="D22" s="7" t="s">
        <v>123</v>
      </c>
      <c r="E22" s="7" t="s">
        <v>156</v>
      </c>
      <c r="F22" s="49" t="s">
        <v>157</v>
      </c>
      <c r="G22" s="38"/>
      <c r="H22" s="39"/>
      <c r="I22" s="9" t="s">
        <v>158</v>
      </c>
    </row>
    <row r="23" spans="2:9" ht="45.75" customHeight="1" x14ac:dyDescent="0.25">
      <c r="B23" s="8" t="s">
        <v>159</v>
      </c>
      <c r="C23" s="8" t="s">
        <v>160</v>
      </c>
      <c r="D23" s="8" t="s">
        <v>161</v>
      </c>
      <c r="E23" s="8" t="s">
        <v>162</v>
      </c>
      <c r="F23" s="48" t="s">
        <v>121</v>
      </c>
      <c r="G23" s="38"/>
      <c r="H23" s="39"/>
      <c r="I23" s="10" t="s">
        <v>163</v>
      </c>
    </row>
    <row r="24" spans="2:9" ht="39" customHeight="1" x14ac:dyDescent="0.25">
      <c r="B24" s="7" t="s">
        <v>164</v>
      </c>
      <c r="C24" s="7" t="s">
        <v>165</v>
      </c>
      <c r="D24" s="7" t="s">
        <v>162</v>
      </c>
      <c r="E24" s="7" t="s">
        <v>162</v>
      </c>
      <c r="F24" s="47" t="s">
        <v>121</v>
      </c>
      <c r="G24" s="38"/>
      <c r="H24" s="39"/>
      <c r="I24" s="9" t="s">
        <v>166</v>
      </c>
    </row>
    <row r="25" spans="2:9" ht="36.75" customHeight="1" x14ac:dyDescent="0.25">
      <c r="B25" s="8" t="s">
        <v>167</v>
      </c>
      <c r="C25" s="8" t="s">
        <v>168</v>
      </c>
      <c r="D25" s="8" t="s">
        <v>169</v>
      </c>
      <c r="E25" s="8" t="s">
        <v>169</v>
      </c>
      <c r="F25" s="48" t="s">
        <v>121</v>
      </c>
      <c r="G25" s="38"/>
      <c r="H25" s="39"/>
      <c r="I25" s="10" t="s">
        <v>170</v>
      </c>
    </row>
    <row r="26" spans="2:9" ht="34.5" customHeight="1" x14ac:dyDescent="0.25">
      <c r="B26" s="7" t="s">
        <v>171</v>
      </c>
      <c r="C26" s="7" t="s">
        <v>172</v>
      </c>
      <c r="D26" s="7" t="s">
        <v>173</v>
      </c>
      <c r="E26" s="7" t="s">
        <v>173</v>
      </c>
      <c r="F26" s="46" t="s">
        <v>126</v>
      </c>
      <c r="G26" s="38"/>
      <c r="H26" s="39"/>
      <c r="I26" s="9" t="s">
        <v>174</v>
      </c>
    </row>
    <row r="27" spans="2:9" ht="32.25" customHeight="1" x14ac:dyDescent="0.25">
      <c r="B27" s="8" t="s">
        <v>175</v>
      </c>
      <c r="C27" s="8" t="s">
        <v>162</v>
      </c>
      <c r="D27" s="8" t="s">
        <v>176</v>
      </c>
      <c r="E27" s="8" t="s">
        <v>177</v>
      </c>
      <c r="F27" s="48" t="s">
        <v>121</v>
      </c>
      <c r="G27" s="38"/>
      <c r="H27" s="39"/>
      <c r="I27" s="10" t="s">
        <v>178</v>
      </c>
    </row>
    <row r="28" spans="2:9" ht="42" customHeight="1" x14ac:dyDescent="0.25">
      <c r="B28" s="7" t="s">
        <v>33</v>
      </c>
      <c r="C28" s="7" t="s">
        <v>168</v>
      </c>
      <c r="D28" s="7" t="s">
        <v>179</v>
      </c>
      <c r="E28" s="7" t="s">
        <v>180</v>
      </c>
      <c r="F28" s="49" t="s">
        <v>157</v>
      </c>
      <c r="G28" s="38"/>
      <c r="H28" s="39"/>
      <c r="I28" s="9" t="s">
        <v>102</v>
      </c>
    </row>
  </sheetData>
  <mergeCells count="10">
    <mergeCell ref="F28:H28"/>
    <mergeCell ref="F27:H27"/>
    <mergeCell ref="B20:I20"/>
    <mergeCell ref="F26:H26"/>
    <mergeCell ref="B1:I1"/>
    <mergeCell ref="F24:H24"/>
    <mergeCell ref="F25:H25"/>
    <mergeCell ref="F23:H23"/>
    <mergeCell ref="F22:H22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Executivo</vt:lpstr>
      <vt:lpstr>Resultados CBR</vt:lpstr>
      <vt:lpstr>Redes Neuronais — Destaque</vt:lpstr>
      <vt:lpstr>120 Configurações RN</vt:lpstr>
      <vt:lpstr>Comparação CBR vs 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Beja da Costa</cp:lastModifiedBy>
  <dcterms:created xsi:type="dcterms:W3CDTF">2026-05-09T17:34:43Z</dcterms:created>
  <dcterms:modified xsi:type="dcterms:W3CDTF">2026-05-09T18:02:55Z</dcterms:modified>
</cp:coreProperties>
</file>